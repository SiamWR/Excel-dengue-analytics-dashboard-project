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D:\Interective Batch 4\Excel\Conceptual Class 6 (Dengue Data Analysis &amp; Dashboard Making)\"/>
    </mc:Choice>
  </mc:AlternateContent>
  <xr:revisionPtr revIDLastSave="0" documentId="13_ncr:1_{2EFAD5E1-3258-47A1-927F-72995F639871}" xr6:coauthVersionLast="47" xr6:coauthVersionMax="47" xr10:uidLastSave="{00000000-0000-0000-0000-000000000000}"/>
  <bookViews>
    <workbookView xWindow="-120" yWindow="-120" windowWidth="20730" windowHeight="11040" tabRatio="908" xr2:uid="{AE32A95F-2353-4FEC-9003-306FBF09D07D}"/>
  </bookViews>
  <sheets>
    <sheet name="Dashboard" sheetId="2" r:id="rId1"/>
    <sheet name="dataset" sheetId="1" r:id="rId2"/>
    <sheet name="KPI" sheetId="3" r:id="rId3"/>
    <sheet name="Pivot for KPI" sheetId="5" r:id="rId4"/>
    <sheet name="Age grouping vs Disease" sheetId="7" r:id="rId5"/>
    <sheet name="House Types vs cases" sheetId="8" r:id="rId6"/>
    <sheet name="Diagnostic Views" sheetId="9" r:id="rId7"/>
    <sheet name="Sheet1" sheetId="10" r:id="rId8"/>
  </sheets>
  <definedNames>
    <definedName name="Slicer_Age_Group1">#N/A</definedName>
    <definedName name="Slicer_Area1">#N/A</definedName>
    <definedName name="Slicer_AreaType">#N/A</definedName>
    <definedName name="Slicer_Final_Outcom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a="1"/>
  <c r="L3" i="1" s="1"/>
  <c r="L4" i="1" a="1"/>
  <c r="L4" i="1" s="1"/>
  <c r="L5" i="1" a="1"/>
  <c r="L5" i="1" s="1"/>
  <c r="L6" i="1" a="1"/>
  <c r="L6" i="1" s="1"/>
  <c r="L7" i="1" a="1"/>
  <c r="L7" i="1" s="1"/>
  <c r="L8" i="1" a="1"/>
  <c r="L8" i="1" s="1"/>
  <c r="L9" i="1" a="1"/>
  <c r="L9" i="1"/>
  <c r="L10" i="1" a="1"/>
  <c r="L10" i="1" s="1"/>
  <c r="L11" i="1" a="1"/>
  <c r="L11" i="1"/>
  <c r="L12" i="1" a="1"/>
  <c r="L12" i="1" s="1"/>
  <c r="L13" i="1" a="1"/>
  <c r="L13" i="1" s="1"/>
  <c r="L14" i="1" a="1"/>
  <c r="L14" i="1" s="1"/>
  <c r="L15" i="1" a="1"/>
  <c r="L15" i="1" s="1"/>
  <c r="L16" i="1" a="1"/>
  <c r="L16" i="1" s="1"/>
  <c r="L17" i="1" a="1"/>
  <c r="L17" i="1" s="1"/>
  <c r="L18" i="1" a="1"/>
  <c r="L18" i="1" s="1"/>
  <c r="L19" i="1" a="1"/>
  <c r="L19" i="1" s="1"/>
  <c r="L20" i="1" a="1"/>
  <c r="L20" i="1"/>
  <c r="L21" i="1" a="1"/>
  <c r="L21" i="1" s="1"/>
  <c r="L22" i="1" a="1"/>
  <c r="L22" i="1" s="1"/>
  <c r="L23" i="1" a="1"/>
  <c r="L23" i="1"/>
  <c r="L24" i="1" a="1"/>
  <c r="L24" i="1"/>
  <c r="L25" i="1" a="1"/>
  <c r="L25" i="1"/>
  <c r="L26" i="1" a="1"/>
  <c r="L26" i="1" s="1"/>
  <c r="L27" i="1" a="1"/>
  <c r="L27" i="1" s="1"/>
  <c r="L28" i="1" a="1"/>
  <c r="L28" i="1" s="1"/>
  <c r="L29" i="1" a="1"/>
  <c r="L29" i="1"/>
  <c r="L30" i="1" a="1"/>
  <c r="L30" i="1" s="1"/>
  <c r="L31" i="1" a="1"/>
  <c r="L31" i="1" s="1"/>
  <c r="L32" i="1" a="1"/>
  <c r="L32" i="1"/>
  <c r="L33" i="1" a="1"/>
  <c r="L33" i="1"/>
  <c r="L34" i="1" a="1"/>
  <c r="L34" i="1" s="1"/>
  <c r="L35" i="1" a="1"/>
  <c r="L35" i="1" s="1"/>
  <c r="L36" i="1" a="1"/>
  <c r="L36" i="1" s="1"/>
  <c r="L37" i="1" a="1"/>
  <c r="L37" i="1" s="1"/>
  <c r="L38" i="1" a="1"/>
  <c r="L38" i="1" s="1"/>
  <c r="L39" i="1" a="1"/>
  <c r="L39" i="1" s="1"/>
  <c r="L40" i="1" a="1"/>
  <c r="L40" i="1" s="1"/>
  <c r="L41" i="1" a="1"/>
  <c r="L41" i="1"/>
  <c r="L42" i="1" a="1"/>
  <c r="L42" i="1" s="1"/>
  <c r="L43" i="1" a="1"/>
  <c r="L43" i="1"/>
  <c r="L44" i="1" a="1"/>
  <c r="L44" i="1" s="1"/>
  <c r="L45" i="1" a="1"/>
  <c r="L45" i="1" s="1"/>
  <c r="L46" i="1" a="1"/>
  <c r="L46" i="1" s="1"/>
  <c r="L47" i="1" a="1"/>
  <c r="L47" i="1"/>
  <c r="L48" i="1" a="1"/>
  <c r="L48" i="1" s="1"/>
  <c r="L49" i="1" a="1"/>
  <c r="L49" i="1" s="1"/>
  <c r="L50" i="1" a="1"/>
  <c r="L50" i="1" s="1"/>
  <c r="L51" i="1" a="1"/>
  <c r="L51" i="1" s="1"/>
  <c r="L52" i="1" a="1"/>
  <c r="L52" i="1"/>
  <c r="L53" i="1" a="1"/>
  <c r="L53" i="1" s="1"/>
  <c r="L54" i="1" a="1"/>
  <c r="L54" i="1" s="1"/>
  <c r="L55" i="1" a="1"/>
  <c r="L55" i="1"/>
  <c r="L56" i="1" a="1"/>
  <c r="L56" i="1"/>
  <c r="L57" i="1" a="1"/>
  <c r="L57" i="1"/>
  <c r="L58" i="1" a="1"/>
  <c r="L58" i="1" s="1"/>
  <c r="L59" i="1" a="1"/>
  <c r="L59" i="1" s="1"/>
  <c r="L60" i="1" a="1"/>
  <c r="L60" i="1" s="1"/>
  <c r="L61" i="1" a="1"/>
  <c r="L61" i="1"/>
  <c r="L62" i="1" a="1"/>
  <c r="L62" i="1" s="1"/>
  <c r="L63" i="1" a="1"/>
  <c r="L63" i="1" s="1"/>
  <c r="L64" i="1" a="1"/>
  <c r="L64" i="1"/>
  <c r="L65" i="1" a="1"/>
  <c r="L65" i="1"/>
  <c r="L66" i="1" a="1"/>
  <c r="L66" i="1" s="1"/>
  <c r="L67" i="1" a="1"/>
  <c r="L67" i="1" s="1"/>
  <c r="L68" i="1" a="1"/>
  <c r="L68" i="1" s="1"/>
  <c r="L69" i="1" a="1"/>
  <c r="L69" i="1" s="1"/>
  <c r="L70" i="1" a="1"/>
  <c r="L70" i="1" s="1"/>
  <c r="L71" i="1" a="1"/>
  <c r="L71" i="1"/>
  <c r="L72" i="1" a="1"/>
  <c r="L72" i="1" s="1"/>
  <c r="L73" i="1" a="1"/>
  <c r="L73" i="1"/>
  <c r="L74" i="1" a="1"/>
  <c r="L74" i="1" s="1"/>
  <c r="L75" i="1" a="1"/>
  <c r="L75" i="1"/>
  <c r="L76" i="1" a="1"/>
  <c r="L76" i="1" s="1"/>
  <c r="L77" i="1" a="1"/>
  <c r="L77" i="1" s="1"/>
  <c r="L78" i="1" a="1"/>
  <c r="L78" i="1" s="1"/>
  <c r="L79" i="1" a="1"/>
  <c r="L79" i="1"/>
  <c r="L80" i="1" a="1"/>
  <c r="L80" i="1" s="1"/>
  <c r="L81" i="1" a="1"/>
  <c r="L81" i="1" s="1"/>
  <c r="L82" i="1" a="1"/>
  <c r="L82" i="1" s="1"/>
  <c r="L83" i="1" a="1"/>
  <c r="L83" i="1" s="1"/>
  <c r="L84" i="1" a="1"/>
  <c r="L84" i="1"/>
  <c r="L85" i="1" a="1"/>
  <c r="L85" i="1" s="1"/>
  <c r="L86" i="1" a="1"/>
  <c r="L86" i="1" s="1"/>
  <c r="L87" i="1" a="1"/>
  <c r="L87" i="1"/>
  <c r="L88" i="1" a="1"/>
  <c r="L88" i="1"/>
  <c r="L89" i="1" a="1"/>
  <c r="L89" i="1" s="1"/>
  <c r="L90" i="1" a="1"/>
  <c r="L90" i="1" s="1"/>
  <c r="L91" i="1" a="1"/>
  <c r="L91" i="1" s="1"/>
  <c r="L92" i="1" a="1"/>
  <c r="L92" i="1" s="1"/>
  <c r="L93" i="1" a="1"/>
  <c r="L93" i="1"/>
  <c r="L94" i="1" a="1"/>
  <c r="L94" i="1" s="1"/>
  <c r="L95" i="1" a="1"/>
  <c r="L95" i="1" s="1"/>
  <c r="L96" i="1" a="1"/>
  <c r="L96" i="1"/>
  <c r="L97" i="1" a="1"/>
  <c r="L97" i="1"/>
  <c r="L98" i="1" a="1"/>
  <c r="L98" i="1" s="1"/>
  <c r="L99" i="1" a="1"/>
  <c r="L99" i="1" s="1"/>
  <c r="L100" i="1" a="1"/>
  <c r="L100" i="1" s="1"/>
  <c r="L101" i="1" a="1"/>
  <c r="L101" i="1" s="1"/>
  <c r="L102" i="1" a="1"/>
  <c r="L102" i="1" s="1"/>
  <c r="L103" i="1" a="1"/>
  <c r="L103" i="1"/>
  <c r="L104" i="1" a="1"/>
  <c r="L104" i="1" s="1"/>
  <c r="L105" i="1" a="1"/>
  <c r="L105" i="1"/>
  <c r="L106" i="1" a="1"/>
  <c r="L106" i="1" s="1"/>
  <c r="L107" i="1" a="1"/>
  <c r="L107" i="1"/>
  <c r="L108" i="1" a="1"/>
  <c r="L108" i="1" s="1"/>
  <c r="L109" i="1" a="1"/>
  <c r="L109" i="1" s="1"/>
  <c r="L110" i="1" a="1"/>
  <c r="L110" i="1" s="1"/>
  <c r="L111" i="1" a="1"/>
  <c r="L111" i="1"/>
  <c r="L112" i="1" a="1"/>
  <c r="L112" i="1" s="1"/>
  <c r="L113" i="1" a="1"/>
  <c r="L113" i="1" s="1"/>
  <c r="L114" i="1" a="1"/>
  <c r="L114" i="1" s="1"/>
  <c r="L115" i="1" a="1"/>
  <c r="L115" i="1" s="1"/>
  <c r="L116" i="1" a="1"/>
  <c r="L116" i="1"/>
  <c r="L117" i="1" a="1"/>
  <c r="L117" i="1" s="1"/>
  <c r="L118" i="1" a="1"/>
  <c r="L118" i="1" s="1"/>
  <c r="L119" i="1" a="1"/>
  <c r="L119" i="1"/>
  <c r="L120" i="1" a="1"/>
  <c r="L120" i="1"/>
  <c r="L121" i="1" a="1"/>
  <c r="L121" i="1"/>
  <c r="L122" i="1" a="1"/>
  <c r="L122" i="1" s="1"/>
  <c r="L123" i="1" a="1"/>
  <c r="L123" i="1" s="1"/>
  <c r="L124" i="1" a="1"/>
  <c r="L124" i="1" s="1"/>
  <c r="L125" i="1" a="1"/>
  <c r="L125" i="1"/>
  <c r="L126" i="1" a="1"/>
  <c r="L126" i="1" s="1"/>
  <c r="L127" i="1" a="1"/>
  <c r="L127" i="1" s="1"/>
  <c r="L128" i="1" a="1"/>
  <c r="L128" i="1"/>
  <c r="L129" i="1" a="1"/>
  <c r="L129" i="1"/>
  <c r="L130" i="1" a="1"/>
  <c r="L130" i="1" s="1"/>
  <c r="L131" i="1" a="1"/>
  <c r="L131" i="1" s="1"/>
  <c r="L132" i="1" a="1"/>
  <c r="L132" i="1" s="1"/>
  <c r="L133" i="1" a="1"/>
  <c r="L133" i="1" s="1"/>
  <c r="L134" i="1" a="1"/>
  <c r="L134" i="1" s="1"/>
  <c r="L135" i="1" a="1"/>
  <c r="L135" i="1"/>
  <c r="L136" i="1" a="1"/>
  <c r="L136" i="1" s="1"/>
  <c r="L137" i="1" a="1"/>
  <c r="L137" i="1"/>
  <c r="L138" i="1" a="1"/>
  <c r="L138" i="1" s="1"/>
  <c r="L139" i="1" a="1"/>
  <c r="L139" i="1"/>
  <c r="L140" i="1" a="1"/>
  <c r="L140" i="1" s="1"/>
  <c r="L141" i="1" a="1"/>
  <c r="L141" i="1" s="1"/>
  <c r="L142" i="1" a="1"/>
  <c r="L142" i="1" s="1"/>
  <c r="L143" i="1" a="1"/>
  <c r="L143" i="1"/>
  <c r="L144" i="1" a="1"/>
  <c r="L144" i="1" s="1"/>
  <c r="L145" i="1" a="1"/>
  <c r="L145" i="1" s="1"/>
  <c r="L146" i="1" a="1"/>
  <c r="L146" i="1" s="1"/>
  <c r="L147" i="1" a="1"/>
  <c r="L147" i="1" s="1"/>
  <c r="L148" i="1" a="1"/>
  <c r="L148" i="1"/>
  <c r="L149" i="1" a="1"/>
  <c r="L149" i="1" s="1"/>
  <c r="L150" i="1" a="1"/>
  <c r="L150" i="1" s="1"/>
  <c r="L151" i="1" a="1"/>
  <c r="L151" i="1"/>
  <c r="L152" i="1" a="1"/>
  <c r="L152" i="1"/>
  <c r="L153" i="1" a="1"/>
  <c r="L153" i="1" s="1"/>
  <c r="L154" i="1" a="1"/>
  <c r="L154" i="1" s="1"/>
  <c r="L155" i="1" a="1"/>
  <c r="L155" i="1" s="1"/>
  <c r="L156" i="1" a="1"/>
  <c r="L156" i="1" s="1"/>
  <c r="L157" i="1" a="1"/>
  <c r="L157" i="1"/>
  <c r="L158" i="1" a="1"/>
  <c r="L158" i="1" s="1"/>
  <c r="L159" i="1" a="1"/>
  <c r="L159" i="1" s="1"/>
  <c r="L160" i="1" a="1"/>
  <c r="L160" i="1"/>
  <c r="L161" i="1" a="1"/>
  <c r="L161" i="1"/>
  <c r="L162" i="1" a="1"/>
  <c r="L162" i="1" s="1"/>
  <c r="L163" i="1" a="1"/>
  <c r="L163" i="1" s="1"/>
  <c r="L164" i="1" a="1"/>
  <c r="L164" i="1" s="1"/>
  <c r="L165" i="1" a="1"/>
  <c r="L165" i="1" s="1"/>
  <c r="L166" i="1" a="1"/>
  <c r="L166" i="1" s="1"/>
  <c r="L167" i="1" a="1"/>
  <c r="L167" i="1"/>
  <c r="L168" i="1" a="1"/>
  <c r="L168" i="1" s="1"/>
  <c r="L169" i="1" a="1"/>
  <c r="L169" i="1"/>
  <c r="L170" i="1" a="1"/>
  <c r="L170" i="1" s="1"/>
  <c r="L171" i="1" a="1"/>
  <c r="L171" i="1"/>
  <c r="L172" i="1" a="1"/>
  <c r="L172" i="1" s="1"/>
  <c r="L173" i="1" a="1"/>
  <c r="L173" i="1" s="1"/>
  <c r="L174" i="1" a="1"/>
  <c r="L174" i="1" s="1"/>
  <c r="L175" i="1" a="1"/>
  <c r="L175" i="1"/>
  <c r="L176" i="1" a="1"/>
  <c r="L176" i="1" s="1"/>
  <c r="L177" i="1" a="1"/>
  <c r="L177" i="1" s="1"/>
  <c r="L178" i="1" a="1"/>
  <c r="L178" i="1" s="1"/>
  <c r="L179" i="1" a="1"/>
  <c r="L179" i="1" s="1"/>
  <c r="L180" i="1" a="1"/>
  <c r="L180" i="1"/>
  <c r="L181" i="1" a="1"/>
  <c r="L181" i="1" s="1"/>
  <c r="L182" i="1" a="1"/>
  <c r="L182" i="1" s="1"/>
  <c r="L183" i="1" a="1"/>
  <c r="L183" i="1"/>
  <c r="L184" i="1" a="1"/>
  <c r="L184" i="1"/>
  <c r="L185" i="1" a="1"/>
  <c r="L185" i="1"/>
  <c r="L186" i="1" a="1"/>
  <c r="L186" i="1" s="1"/>
  <c r="L187" i="1" a="1"/>
  <c r="L187" i="1" s="1"/>
  <c r="L188" i="1" a="1"/>
  <c r="L188" i="1" s="1"/>
  <c r="L189" i="1" a="1"/>
  <c r="L189" i="1"/>
  <c r="L190" i="1" a="1"/>
  <c r="L190" i="1" s="1"/>
  <c r="L191" i="1" a="1"/>
  <c r="L191" i="1" s="1"/>
  <c r="L192" i="1" a="1"/>
  <c r="L192" i="1"/>
  <c r="L193" i="1" a="1"/>
  <c r="L193" i="1"/>
  <c r="L194" i="1" a="1"/>
  <c r="L194" i="1" s="1"/>
  <c r="L195" i="1" a="1"/>
  <c r="L195" i="1" s="1"/>
  <c r="L196" i="1" a="1"/>
  <c r="L196" i="1" s="1"/>
  <c r="L197" i="1" a="1"/>
  <c r="L197" i="1" s="1"/>
  <c r="L198" i="1" a="1"/>
  <c r="L198" i="1" s="1"/>
  <c r="L199" i="1" a="1"/>
  <c r="L199" i="1"/>
  <c r="L200" i="1" a="1"/>
  <c r="L200" i="1" s="1"/>
  <c r="L201" i="1" a="1"/>
  <c r="L201" i="1"/>
  <c r="L202" i="1" a="1"/>
  <c r="L202" i="1" s="1"/>
  <c r="L203" i="1" a="1"/>
  <c r="L203" i="1"/>
  <c r="L204" i="1" a="1"/>
  <c r="L204" i="1" s="1"/>
  <c r="L205" i="1" a="1"/>
  <c r="L205" i="1" s="1"/>
  <c r="L206" i="1" a="1"/>
  <c r="L206" i="1" s="1"/>
  <c r="L207" i="1" a="1"/>
  <c r="L207" i="1"/>
  <c r="L208" i="1" a="1"/>
  <c r="L208" i="1" s="1"/>
  <c r="L209" i="1" a="1"/>
  <c r="L209" i="1" s="1"/>
  <c r="L210" i="1" a="1"/>
  <c r="L210" i="1" s="1"/>
  <c r="L211" i="1" a="1"/>
  <c r="L211" i="1" s="1"/>
  <c r="L212" i="1" a="1"/>
  <c r="L212" i="1"/>
  <c r="L213" i="1" a="1"/>
  <c r="L213" i="1" s="1"/>
  <c r="L214" i="1" a="1"/>
  <c r="L214" i="1" s="1"/>
  <c r="L215" i="1" a="1"/>
  <c r="L215" i="1"/>
  <c r="L216" i="1" a="1"/>
  <c r="L216" i="1"/>
  <c r="L217" i="1" a="1"/>
  <c r="L217" i="1" s="1"/>
  <c r="L218" i="1" a="1"/>
  <c r="L218" i="1" s="1"/>
  <c r="L219" i="1" a="1"/>
  <c r="L219" i="1" s="1"/>
  <c r="L220" i="1" a="1"/>
  <c r="L220" i="1" s="1"/>
  <c r="L221" i="1" a="1"/>
  <c r="L221" i="1"/>
  <c r="L222" i="1" a="1"/>
  <c r="L222" i="1" s="1"/>
  <c r="L223" i="1" a="1"/>
  <c r="L223" i="1" s="1"/>
  <c r="L224" i="1" a="1"/>
  <c r="L224" i="1"/>
  <c r="L225" i="1" a="1"/>
  <c r="L225" i="1"/>
  <c r="L226" i="1" a="1"/>
  <c r="L226" i="1" s="1"/>
  <c r="L227" i="1" a="1"/>
  <c r="L227" i="1" s="1"/>
  <c r="L228" i="1" a="1"/>
  <c r="L228" i="1" s="1"/>
  <c r="L229" i="1" a="1"/>
  <c r="L229" i="1" s="1"/>
  <c r="L230" i="1" a="1"/>
  <c r="L230" i="1" s="1"/>
  <c r="L231" i="1" a="1"/>
  <c r="L231" i="1"/>
  <c r="L232" i="1" a="1"/>
  <c r="L232" i="1" s="1"/>
  <c r="L233" i="1" a="1"/>
  <c r="L233" i="1"/>
  <c r="L234" i="1" a="1"/>
  <c r="L234" i="1" s="1"/>
  <c r="L235" i="1" a="1"/>
  <c r="L235" i="1"/>
  <c r="L236" i="1" a="1"/>
  <c r="L236" i="1" s="1"/>
  <c r="L237" i="1" a="1"/>
  <c r="L237" i="1" s="1"/>
  <c r="L238" i="1" a="1"/>
  <c r="L238" i="1" s="1"/>
  <c r="L239" i="1" a="1"/>
  <c r="L239" i="1"/>
  <c r="L240" i="1" a="1"/>
  <c r="L240" i="1" s="1"/>
  <c r="L241" i="1" a="1"/>
  <c r="L241" i="1" s="1"/>
  <c r="L242" i="1" a="1"/>
  <c r="L242" i="1" s="1"/>
  <c r="L243" i="1" a="1"/>
  <c r="L243" i="1" s="1"/>
  <c r="L244" i="1" a="1"/>
  <c r="L244" i="1"/>
  <c r="L245" i="1" a="1"/>
  <c r="L245" i="1" s="1"/>
  <c r="L246" i="1" a="1"/>
  <c r="L246" i="1" s="1"/>
  <c r="L247" i="1" a="1"/>
  <c r="L247" i="1"/>
  <c r="L248" i="1" a="1"/>
  <c r="L248" i="1"/>
  <c r="L249" i="1" a="1"/>
  <c r="L249" i="1"/>
  <c r="L250" i="1" a="1"/>
  <c r="L250" i="1" s="1"/>
  <c r="L251" i="1" a="1"/>
  <c r="L251" i="1" s="1"/>
  <c r="L252" i="1" a="1"/>
  <c r="L252" i="1" s="1"/>
  <c r="L253" i="1" a="1"/>
  <c r="L253" i="1"/>
  <c r="L254" i="1" a="1"/>
  <c r="L254" i="1" s="1"/>
  <c r="L255" i="1" a="1"/>
  <c r="L255" i="1" s="1"/>
  <c r="L256" i="1" a="1"/>
  <c r="L256" i="1"/>
  <c r="L257" i="1" a="1"/>
  <c r="L257" i="1"/>
  <c r="L258" i="1" a="1"/>
  <c r="L258" i="1" s="1"/>
  <c r="L259" i="1" a="1"/>
  <c r="L259" i="1" s="1"/>
  <c r="L260" i="1" a="1"/>
  <c r="L260" i="1" s="1"/>
  <c r="L261" i="1" a="1"/>
  <c r="L261" i="1" s="1"/>
  <c r="L262" i="1" a="1"/>
  <c r="L262" i="1" s="1"/>
  <c r="L263" i="1" a="1"/>
  <c r="L263" i="1" s="1"/>
  <c r="L264" i="1" a="1"/>
  <c r="L264" i="1" s="1"/>
  <c r="L265" i="1" a="1"/>
  <c r="L265" i="1"/>
  <c r="L266" i="1" a="1"/>
  <c r="L266" i="1" s="1"/>
  <c r="L267" i="1" a="1"/>
  <c r="L267" i="1"/>
  <c r="L268" i="1" a="1"/>
  <c r="L268" i="1" s="1"/>
  <c r="L269" i="1" a="1"/>
  <c r="L269" i="1" s="1"/>
  <c r="L270" i="1" a="1"/>
  <c r="L270" i="1" s="1"/>
  <c r="L271" i="1" a="1"/>
  <c r="L271" i="1"/>
  <c r="L272" i="1" a="1"/>
  <c r="L272" i="1" s="1"/>
  <c r="L273" i="1" a="1"/>
  <c r="L273" i="1" s="1"/>
  <c r="L274" i="1" a="1"/>
  <c r="L274" i="1" s="1"/>
  <c r="L275" i="1" a="1"/>
  <c r="L275" i="1" s="1"/>
  <c r="L276" i="1" a="1"/>
  <c r="L276" i="1"/>
  <c r="L277" i="1" a="1"/>
  <c r="L277" i="1" s="1"/>
  <c r="L278" i="1" a="1"/>
  <c r="L278" i="1" s="1"/>
  <c r="L279" i="1" a="1"/>
  <c r="L279" i="1"/>
  <c r="L280" i="1" a="1"/>
  <c r="L280" i="1"/>
  <c r="L281" i="1" a="1"/>
  <c r="L281" i="1"/>
  <c r="L282" i="1" a="1"/>
  <c r="L282" i="1" s="1"/>
  <c r="L283" i="1" a="1"/>
  <c r="L283" i="1" s="1"/>
  <c r="L284" i="1" a="1"/>
  <c r="L284" i="1" s="1"/>
  <c r="L285" i="1" a="1"/>
  <c r="L285" i="1"/>
  <c r="L286" i="1" a="1"/>
  <c r="L286" i="1" s="1"/>
  <c r="L287" i="1" a="1"/>
  <c r="L287" i="1" s="1"/>
  <c r="L288" i="1" a="1"/>
  <c r="L288" i="1"/>
  <c r="L289" i="1" a="1"/>
  <c r="L289" i="1"/>
  <c r="L290" i="1" a="1"/>
  <c r="L290" i="1" s="1"/>
  <c r="L291" i="1" a="1"/>
  <c r="L291" i="1"/>
  <c r="L292" i="1" a="1"/>
  <c r="L292" i="1" s="1"/>
  <c r="L293" i="1" a="1"/>
  <c r="L293" i="1" s="1"/>
  <c r="L294" i="1" a="1"/>
  <c r="L294" i="1" s="1"/>
  <c r="L295" i="1" a="1"/>
  <c r="L295" i="1"/>
  <c r="L296" i="1" a="1"/>
  <c r="L296" i="1" s="1"/>
  <c r="L297" i="1" a="1"/>
  <c r="L297" i="1"/>
  <c r="L298" i="1" a="1"/>
  <c r="L298" i="1" s="1"/>
  <c r="L299" i="1" a="1"/>
  <c r="L299" i="1"/>
  <c r="L300" i="1" a="1"/>
  <c r="L300" i="1"/>
  <c r="L301" i="1" a="1"/>
  <c r="L301" i="1" s="1"/>
  <c r="L302" i="1" a="1"/>
  <c r="L302" i="1" s="1"/>
  <c r="L303" i="1" a="1"/>
  <c r="L303" i="1"/>
  <c r="L304" i="1" a="1"/>
  <c r="L304" i="1" s="1"/>
  <c r="L305" i="1" a="1"/>
  <c r="L305" i="1" s="1"/>
  <c r="L306" i="1" a="1"/>
  <c r="L306" i="1" s="1"/>
  <c r="L307" i="1" a="1"/>
  <c r="L307" i="1" s="1"/>
  <c r="L308" i="1" a="1"/>
  <c r="L308" i="1"/>
  <c r="L309" i="1" a="1"/>
  <c r="L309" i="1"/>
  <c r="L310" i="1" a="1"/>
  <c r="L310" i="1" s="1"/>
  <c r="L311" i="1" a="1"/>
  <c r="L311" i="1"/>
  <c r="L312" i="1" a="1"/>
  <c r="L312" i="1"/>
  <c r="L313" i="1" a="1"/>
  <c r="L313" i="1" s="1"/>
  <c r="L314" i="1" a="1"/>
  <c r="L314" i="1" s="1"/>
  <c r="L315" i="1" a="1"/>
  <c r="L315" i="1" s="1"/>
  <c r="L316" i="1" a="1"/>
  <c r="L316" i="1" s="1"/>
  <c r="L317" i="1" a="1"/>
  <c r="L317" i="1"/>
  <c r="L318" i="1" a="1"/>
  <c r="L318" i="1" s="1"/>
  <c r="L319" i="1" a="1"/>
  <c r="L319" i="1" s="1"/>
  <c r="L320" i="1" a="1"/>
  <c r="L320" i="1"/>
  <c r="L321" i="1" a="1"/>
  <c r="L321" i="1"/>
  <c r="L322" i="1" a="1"/>
  <c r="L322" i="1" s="1"/>
  <c r="L323" i="1" a="1"/>
  <c r="L323" i="1" s="1"/>
  <c r="L324" i="1" a="1"/>
  <c r="L324" i="1" s="1"/>
  <c r="L325" i="1" a="1"/>
  <c r="L325" i="1" s="1"/>
  <c r="L326" i="1" a="1"/>
  <c r="L326" i="1" s="1"/>
  <c r="L327" i="1" a="1"/>
  <c r="L327" i="1" s="1"/>
  <c r="L328" i="1" a="1"/>
  <c r="L328" i="1" s="1"/>
  <c r="L329" i="1" a="1"/>
  <c r="L329" i="1"/>
  <c r="L330" i="1" a="1"/>
  <c r="L330" i="1" s="1"/>
  <c r="L331" i="1" a="1"/>
  <c r="L331" i="1"/>
  <c r="L332" i="1" a="1"/>
  <c r="L332" i="1" s="1"/>
  <c r="L333" i="1" a="1"/>
  <c r="L333" i="1" s="1"/>
  <c r="L334" i="1" a="1"/>
  <c r="L334" i="1" s="1"/>
  <c r="L335" i="1" a="1"/>
  <c r="L335" i="1"/>
  <c r="L336" i="1" a="1"/>
  <c r="L336" i="1"/>
  <c r="L337" i="1" a="1"/>
  <c r="L337" i="1" s="1"/>
  <c r="L338" i="1" a="1"/>
  <c r="L338" i="1" s="1"/>
  <c r="L339" i="1" a="1"/>
  <c r="L339" i="1" s="1"/>
  <c r="L340" i="1" a="1"/>
  <c r="L340" i="1"/>
  <c r="L341" i="1" a="1"/>
  <c r="L341" i="1" s="1"/>
  <c r="L342" i="1" a="1"/>
  <c r="L342" i="1" s="1"/>
  <c r="L343" i="1" a="1"/>
  <c r="L343" i="1"/>
  <c r="L344" i="1" a="1"/>
  <c r="L344" i="1"/>
  <c r="L345" i="1" a="1"/>
  <c r="L345" i="1"/>
  <c r="L346" i="1" a="1"/>
  <c r="L346" i="1" s="1"/>
  <c r="L347" i="1" a="1"/>
  <c r="L347" i="1"/>
  <c r="L348" i="1" a="1"/>
  <c r="L348" i="1"/>
  <c r="L349" i="1" a="1"/>
  <c r="L349" i="1" s="1"/>
  <c r="L350" i="1" a="1"/>
  <c r="L350" i="1" s="1"/>
  <c r="L351" i="1" a="1"/>
  <c r="L351" i="1"/>
  <c r="L352" i="1" a="1"/>
  <c r="L352" i="1"/>
  <c r="L353" i="1" a="1"/>
  <c r="L353" i="1" s="1"/>
  <c r="L354" i="1" a="1"/>
  <c r="L354" i="1" s="1"/>
  <c r="L355" i="1" a="1"/>
  <c r="L355" i="1"/>
  <c r="L356" i="1" a="1"/>
  <c r="L356" i="1"/>
  <c r="L357" i="1" a="1"/>
  <c r="L357" i="1"/>
  <c r="L358" i="1" a="1"/>
  <c r="L358" i="1" s="1"/>
  <c r="L359" i="1" a="1"/>
  <c r="L359" i="1"/>
  <c r="L360" i="1" a="1"/>
  <c r="L360" i="1"/>
  <c r="L361" i="1" a="1"/>
  <c r="L361" i="1" s="1"/>
  <c r="L362" i="1" a="1"/>
  <c r="L362" i="1" s="1"/>
  <c r="L363" i="1" a="1"/>
  <c r="L363" i="1"/>
  <c r="L364" i="1" a="1"/>
  <c r="L364" i="1"/>
  <c r="L365" i="1" a="1"/>
  <c r="L365" i="1" s="1"/>
  <c r="L366" i="1" a="1"/>
  <c r="L366" i="1" s="1"/>
  <c r="L367" i="1" a="1"/>
  <c r="L367" i="1"/>
  <c r="L368" i="1" a="1"/>
  <c r="L368" i="1" s="1"/>
  <c r="L369" i="1" a="1"/>
  <c r="L369" i="1" s="1"/>
  <c r="L370" i="1" a="1"/>
  <c r="L370" i="1" s="1"/>
  <c r="L371" i="1" a="1"/>
  <c r="L371" i="1"/>
  <c r="L372" i="1" a="1"/>
  <c r="L372" i="1" s="1"/>
  <c r="L373" i="1" a="1"/>
  <c r="L373" i="1" s="1"/>
  <c r="L374" i="1" a="1"/>
  <c r="L374" i="1" s="1"/>
  <c r="L375" i="1" a="1"/>
  <c r="L375" i="1"/>
  <c r="L376" i="1" a="1"/>
  <c r="L376" i="1" s="1"/>
  <c r="L377" i="1" a="1"/>
  <c r="L377" i="1"/>
  <c r="L378" i="1" a="1"/>
  <c r="L378" i="1" s="1"/>
  <c r="L379" i="1" a="1"/>
  <c r="L379" i="1"/>
  <c r="L380" i="1" a="1"/>
  <c r="L380" i="1" s="1"/>
  <c r="L381" i="1" a="1"/>
  <c r="L381" i="1"/>
  <c r="L382" i="1" a="1"/>
  <c r="L382" i="1" s="1"/>
  <c r="L383" i="1" a="1"/>
  <c r="L383" i="1"/>
  <c r="L384" i="1" a="1"/>
  <c r="L384" i="1" s="1"/>
  <c r="L385" i="1" a="1"/>
  <c r="L385" i="1" s="1"/>
  <c r="L386" i="1" a="1"/>
  <c r="L386" i="1" s="1"/>
  <c r="L387" i="1" a="1"/>
  <c r="L387" i="1"/>
  <c r="L388" i="1" a="1"/>
  <c r="L388" i="1" s="1"/>
  <c r="L389" i="1" a="1"/>
  <c r="L389" i="1" s="1"/>
  <c r="L390" i="1" a="1"/>
  <c r="L390" i="1" s="1"/>
  <c r="L391" i="1" a="1"/>
  <c r="L391" i="1"/>
  <c r="L392" i="1" a="1"/>
  <c r="L392" i="1" s="1"/>
  <c r="L393" i="1" a="1"/>
  <c r="L393" i="1"/>
  <c r="L394" i="1" a="1"/>
  <c r="L394" i="1" s="1"/>
  <c r="L395" i="1" a="1"/>
  <c r="L395" i="1"/>
  <c r="L396" i="1" a="1"/>
  <c r="L396" i="1" s="1"/>
  <c r="L397" i="1" a="1"/>
  <c r="L397" i="1"/>
  <c r="L398" i="1" a="1"/>
  <c r="L398" i="1" s="1"/>
  <c r="L399" i="1" a="1"/>
  <c r="L399" i="1"/>
  <c r="L400" i="1" a="1"/>
  <c r="L400" i="1" s="1"/>
  <c r="L401" i="1" a="1"/>
  <c r="L401" i="1" s="1"/>
  <c r="L402" i="1" a="1"/>
  <c r="L402" i="1" s="1"/>
  <c r="L403" i="1" a="1"/>
  <c r="L403" i="1"/>
  <c r="L404" i="1" a="1"/>
  <c r="L404" i="1" s="1"/>
  <c r="L405" i="1" a="1"/>
  <c r="L405" i="1" s="1"/>
  <c r="L406" i="1" a="1"/>
  <c r="L406" i="1" s="1"/>
  <c r="L407" i="1" a="1"/>
  <c r="L407" i="1"/>
  <c r="L408" i="1" a="1"/>
  <c r="L408" i="1" s="1"/>
  <c r="L409" i="1" a="1"/>
  <c r="L409" i="1"/>
  <c r="L410" i="1" a="1"/>
  <c r="L410" i="1" s="1"/>
  <c r="L411" i="1" a="1"/>
  <c r="L411" i="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c r="L424" i="1" a="1"/>
  <c r="L424" i="1" s="1"/>
  <c r="L425" i="1" a="1"/>
  <c r="L425" i="1"/>
  <c r="L426" i="1" a="1"/>
  <c r="L426" i="1" s="1"/>
  <c r="L427" i="1" a="1"/>
  <c r="L427" i="1"/>
  <c r="L428" i="1" a="1"/>
  <c r="L428" i="1" s="1"/>
  <c r="L429" i="1" a="1"/>
  <c r="L429" i="1"/>
  <c r="L430" i="1" a="1"/>
  <c r="L430" i="1" s="1"/>
  <c r="L431" i="1" a="1"/>
  <c r="L431" i="1" s="1"/>
  <c r="L432" i="1" a="1"/>
  <c r="L432" i="1" s="1"/>
  <c r="L433" i="1" a="1"/>
  <c r="L433" i="1" s="1"/>
  <c r="L434" i="1" a="1"/>
  <c r="L434" i="1" s="1"/>
  <c r="L435" i="1" a="1"/>
  <c r="L435" i="1" s="1"/>
  <c r="L436" i="1" a="1"/>
  <c r="L436" i="1" s="1"/>
  <c r="L437" i="1" a="1"/>
  <c r="L437" i="1" s="1"/>
  <c r="L438" i="1" a="1"/>
  <c r="L438" i="1" s="1"/>
  <c r="L439" i="1" a="1"/>
  <c r="L439" i="1"/>
  <c r="L440" i="1" a="1"/>
  <c r="L440" i="1" s="1"/>
  <c r="L441" i="1" a="1"/>
  <c r="L441" i="1"/>
  <c r="L442" i="1" a="1"/>
  <c r="L442" i="1" s="1"/>
  <c r="L443" i="1" a="1"/>
  <c r="L443" i="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c r="L456" i="1" a="1"/>
  <c r="L456" i="1" s="1"/>
  <c r="L457" i="1" a="1"/>
  <c r="L457" i="1"/>
  <c r="L458" i="1" a="1"/>
  <c r="L458" i="1" s="1"/>
  <c r="L459" i="1" a="1"/>
  <c r="L459" i="1"/>
  <c r="L460" i="1" a="1"/>
  <c r="L460" i="1" s="1"/>
  <c r="L461" i="1" a="1"/>
  <c r="L461" i="1"/>
  <c r="L462" i="1" a="1"/>
  <c r="L462" i="1" s="1"/>
  <c r="L463" i="1" a="1"/>
  <c r="L463" i="1" s="1"/>
  <c r="L464" i="1" a="1"/>
  <c r="L464" i="1" s="1"/>
  <c r="L465" i="1" a="1"/>
  <c r="L465" i="1" s="1"/>
  <c r="L466" i="1" a="1"/>
  <c r="L466" i="1" s="1"/>
  <c r="L467" i="1" a="1"/>
  <c r="L467" i="1" s="1"/>
  <c r="L468" i="1" a="1"/>
  <c r="L468" i="1" s="1"/>
  <c r="L469" i="1" a="1"/>
  <c r="L469" i="1" s="1"/>
  <c r="L470" i="1" a="1"/>
  <c r="L470" i="1" s="1"/>
  <c r="L471" i="1" a="1"/>
  <c r="L471" i="1"/>
  <c r="L472" i="1" a="1"/>
  <c r="L472" i="1" s="1"/>
  <c r="L473" i="1" a="1"/>
  <c r="L473" i="1"/>
  <c r="L474" i="1" a="1"/>
  <c r="L474" i="1" s="1"/>
  <c r="L475" i="1" a="1"/>
  <c r="L475" i="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c r="L488" i="1" a="1"/>
  <c r="L488" i="1" s="1"/>
  <c r="L489" i="1" a="1"/>
  <c r="L489" i="1"/>
  <c r="L490" i="1" a="1"/>
  <c r="L490" i="1" s="1"/>
  <c r="L491" i="1" a="1"/>
  <c r="L491" i="1"/>
  <c r="L492" i="1" a="1"/>
  <c r="L492" i="1" s="1"/>
  <c r="L493" i="1" a="1"/>
  <c r="L493" i="1"/>
  <c r="L494" i="1" a="1"/>
  <c r="L494" i="1" s="1"/>
  <c r="L495" i="1" a="1"/>
  <c r="L495" i="1" s="1"/>
  <c r="L496" i="1" a="1"/>
  <c r="L496" i="1" s="1"/>
  <c r="L497" i="1" a="1"/>
  <c r="L497" i="1" s="1"/>
  <c r="L498" i="1" a="1"/>
  <c r="L498" i="1" s="1"/>
  <c r="L499" i="1" a="1"/>
  <c r="L499" i="1" s="1"/>
  <c r="L500" i="1" a="1"/>
  <c r="L500" i="1" s="1"/>
  <c r="L501" i="1" a="1"/>
  <c r="L501" i="1" s="1"/>
  <c r="L502" i="1" a="1"/>
  <c r="L502" i="1" s="1"/>
  <c r="L503" i="1" a="1"/>
  <c r="L503" i="1"/>
  <c r="L504" i="1" a="1"/>
  <c r="L504" i="1" s="1"/>
  <c r="L505" i="1" a="1"/>
  <c r="L505" i="1"/>
  <c r="L506" i="1" a="1"/>
  <c r="L506" i="1" s="1"/>
  <c r="L507" i="1" a="1"/>
  <c r="L507" i="1" s="1"/>
  <c r="L508" i="1" a="1"/>
  <c r="L508" i="1" s="1"/>
  <c r="L509" i="1" a="1"/>
  <c r="L509" i="1"/>
  <c r="L510" i="1" a="1"/>
  <c r="L510" i="1" s="1"/>
  <c r="L511" i="1" a="1"/>
  <c r="L511" i="1" s="1"/>
  <c r="L512" i="1" a="1"/>
  <c r="L512" i="1" s="1"/>
  <c r="L513" i="1" a="1"/>
  <c r="L513" i="1" s="1"/>
  <c r="L514" i="1" a="1"/>
  <c r="L514" i="1" s="1"/>
  <c r="L515" i="1" a="1"/>
  <c r="L515" i="1" s="1"/>
  <c r="L516" i="1" a="1"/>
  <c r="L516" i="1" s="1"/>
  <c r="L517" i="1" a="1"/>
  <c r="L517" i="1" s="1"/>
  <c r="L518" i="1" a="1"/>
  <c r="L518" i="1" s="1"/>
  <c r="L519" i="1" a="1"/>
  <c r="L519" i="1"/>
  <c r="L520" i="1" a="1"/>
  <c r="L520" i="1" s="1"/>
  <c r="L521" i="1" a="1"/>
  <c r="L521" i="1"/>
  <c r="L522" i="1" a="1"/>
  <c r="L522" i="1" s="1"/>
  <c r="L523" i="1" a="1"/>
  <c r="L523" i="1" s="1"/>
  <c r="L524" i="1" a="1"/>
  <c r="L524" i="1" s="1"/>
  <c r="L525" i="1" a="1"/>
  <c r="L525" i="1"/>
  <c r="L526" i="1" a="1"/>
  <c r="L526" i="1" s="1"/>
  <c r="L527" i="1" a="1"/>
  <c r="L527" i="1" s="1"/>
  <c r="L528" i="1" a="1"/>
  <c r="L528" i="1" s="1"/>
  <c r="L529" i="1" a="1"/>
  <c r="L529" i="1" s="1"/>
  <c r="L530" i="1" a="1"/>
  <c r="L530" i="1" s="1"/>
  <c r="L531" i="1" a="1"/>
  <c r="L531" i="1" s="1"/>
  <c r="L532" i="1" a="1"/>
  <c r="L532" i="1" s="1"/>
  <c r="L533" i="1" a="1"/>
  <c r="L533" i="1"/>
  <c r="L534" i="1" a="1"/>
  <c r="L534" i="1" s="1"/>
  <c r="L535" i="1" a="1"/>
  <c r="L535" i="1"/>
  <c r="L536" i="1" a="1"/>
  <c r="L536" i="1" s="1"/>
  <c r="L537" i="1" a="1"/>
  <c r="L537" i="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c r="L550" i="1" a="1"/>
  <c r="L550" i="1" s="1"/>
  <c r="L551" i="1" a="1"/>
  <c r="L551" i="1"/>
  <c r="L552" i="1" a="1"/>
  <c r="L552" i="1" s="1"/>
  <c r="L553" i="1" a="1"/>
  <c r="L553" i="1"/>
  <c r="L554" i="1" a="1"/>
  <c r="L554" i="1" s="1"/>
  <c r="L555" i="1" a="1"/>
  <c r="L555" i="1" s="1"/>
  <c r="L556" i="1" a="1"/>
  <c r="L556" i="1" s="1"/>
  <c r="L557" i="1" a="1"/>
  <c r="L557" i="1"/>
  <c r="L558" i="1" a="1"/>
  <c r="L558" i="1"/>
  <c r="L559" i="1" a="1"/>
  <c r="L559" i="1" s="1"/>
  <c r="L560" i="1" a="1"/>
  <c r="L560" i="1" s="1"/>
  <c r="L561" i="1" a="1"/>
  <c r="L561" i="1" s="1"/>
  <c r="L562" i="1" a="1"/>
  <c r="L562" i="1"/>
  <c r="L563" i="1" a="1"/>
  <c r="L563" i="1" s="1"/>
  <c r="L564" i="1" a="1"/>
  <c r="L564" i="1" s="1"/>
  <c r="L565" i="1" a="1"/>
  <c r="L565" i="1" s="1"/>
  <c r="L566" i="1" a="1"/>
  <c r="L566" i="1"/>
  <c r="L567" i="1" a="1"/>
  <c r="L567" i="1" s="1"/>
  <c r="L568" i="1" a="1"/>
  <c r="L568" i="1" s="1"/>
  <c r="L569" i="1" a="1"/>
  <c r="L569" i="1"/>
  <c r="L570" i="1" a="1"/>
  <c r="L570" i="1"/>
  <c r="L571" i="1" a="1"/>
  <c r="L571" i="1" s="1"/>
  <c r="L572" i="1" a="1"/>
  <c r="L572" i="1" s="1"/>
  <c r="L573" i="1" a="1"/>
  <c r="L573" i="1"/>
  <c r="L574" i="1" a="1"/>
  <c r="L574" i="1"/>
  <c r="L575" i="1" a="1"/>
  <c r="L575" i="1" s="1"/>
  <c r="L576" i="1" a="1"/>
  <c r="L576" i="1" s="1"/>
  <c r="L577" i="1" a="1"/>
  <c r="L577" i="1" s="1"/>
  <c r="L578" i="1" a="1"/>
  <c r="L578" i="1"/>
  <c r="L579" i="1" a="1"/>
  <c r="L579" i="1" s="1"/>
  <c r="L580" i="1" a="1"/>
  <c r="L580" i="1" s="1"/>
  <c r="L581" i="1" a="1"/>
  <c r="L581" i="1" s="1"/>
  <c r="L582" i="1" a="1"/>
  <c r="L582" i="1"/>
  <c r="L583" i="1" a="1"/>
  <c r="L583" i="1" s="1"/>
  <c r="L584" i="1" a="1"/>
  <c r="L584" i="1" s="1"/>
  <c r="L585" i="1" a="1"/>
  <c r="L585" i="1"/>
  <c r="L586" i="1" a="1"/>
  <c r="L586" i="1" s="1"/>
  <c r="L587" i="1" a="1"/>
  <c r="L587" i="1" s="1"/>
  <c r="L588" i="1" a="1"/>
  <c r="L588" i="1" s="1"/>
  <c r="L589" i="1" a="1"/>
  <c r="L589" i="1"/>
  <c r="L590" i="1" a="1"/>
  <c r="L590" i="1"/>
  <c r="L591" i="1" a="1"/>
  <c r="L591" i="1" s="1"/>
  <c r="L592" i="1" a="1"/>
  <c r="L592" i="1" s="1"/>
  <c r="L593" i="1" a="1"/>
  <c r="L593" i="1" s="1"/>
  <c r="L594" i="1" a="1"/>
  <c r="L594" i="1"/>
  <c r="L595" i="1" a="1"/>
  <c r="L595" i="1" s="1"/>
  <c r="L596" i="1" a="1"/>
  <c r="L596" i="1" s="1"/>
  <c r="L597" i="1" a="1"/>
  <c r="L597" i="1" s="1"/>
  <c r="L598" i="1" a="1"/>
  <c r="L598" i="1" s="1"/>
  <c r="L599" i="1" a="1"/>
  <c r="L599" i="1" s="1"/>
  <c r="L600" i="1" a="1"/>
  <c r="L600" i="1" s="1"/>
  <c r="L601" i="1" a="1"/>
  <c r="L601" i="1"/>
  <c r="L602" i="1" a="1"/>
  <c r="L602" i="1" s="1"/>
  <c r="L603" i="1" a="1"/>
  <c r="L603" i="1" s="1"/>
  <c r="L604" i="1" a="1"/>
  <c r="L604" i="1" s="1"/>
  <c r="L605" i="1" a="1"/>
  <c r="L605" i="1"/>
  <c r="L606" i="1" a="1"/>
  <c r="L606" i="1"/>
  <c r="L607" i="1" a="1"/>
  <c r="L607" i="1" s="1"/>
  <c r="L608" i="1" a="1"/>
  <c r="L608" i="1" s="1"/>
  <c r="L609" i="1" a="1"/>
  <c r="L609" i="1" s="1"/>
  <c r="L610" i="1" a="1"/>
  <c r="L610" i="1"/>
  <c r="L611" i="1" a="1"/>
  <c r="L611" i="1" s="1"/>
  <c r="L612" i="1" a="1"/>
  <c r="L612" i="1" s="1"/>
  <c r="L613" i="1" a="1"/>
  <c r="L613" i="1" s="1"/>
  <c r="L614" i="1" a="1"/>
  <c r="L614" i="1" s="1"/>
  <c r="L615" i="1" a="1"/>
  <c r="L615" i="1" s="1"/>
  <c r="L616" i="1" a="1"/>
  <c r="L616" i="1" s="1"/>
  <c r="L617" i="1" a="1"/>
  <c r="L617" i="1"/>
  <c r="L618" i="1" a="1"/>
  <c r="L618" i="1" s="1"/>
  <c r="L619" i="1" a="1"/>
  <c r="L619" i="1" s="1"/>
  <c r="L620" i="1" a="1"/>
  <c r="L620" i="1" s="1"/>
  <c r="L621" i="1" a="1"/>
  <c r="L621" i="1" s="1"/>
  <c r="L622" i="1" a="1"/>
  <c r="L622" i="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c r="L634" i="1" a="1"/>
  <c r="L634" i="1" s="1"/>
  <c r="L635" i="1" a="1"/>
  <c r="L635" i="1" s="1"/>
  <c r="L636" i="1" a="1"/>
  <c r="L636" i="1" s="1"/>
  <c r="L637" i="1" a="1"/>
  <c r="L637" i="1" s="1"/>
  <c r="L638" i="1" a="1"/>
  <c r="L638" i="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c r="L650" i="1" a="1"/>
  <c r="L650" i="1" s="1"/>
  <c r="L651" i="1" a="1"/>
  <c r="L651" i="1" s="1"/>
  <c r="L652" i="1" a="1"/>
  <c r="L652" i="1" s="1"/>
  <c r="L653" i="1" a="1"/>
  <c r="L653" i="1" s="1"/>
  <c r="L654" i="1" a="1"/>
  <c r="L654" i="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c r="L666" i="1" a="1"/>
  <c r="L666" i="1" s="1"/>
  <c r="L667" i="1" a="1"/>
  <c r="L667" i="1" s="1"/>
  <c r="L668" i="1" a="1"/>
  <c r="L668" i="1" s="1"/>
  <c r="L669" i="1" a="1"/>
  <c r="L669" i="1" s="1"/>
  <c r="L670" i="1" a="1"/>
  <c r="L670" i="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c r="L682" i="1" a="1"/>
  <c r="L682" i="1" s="1"/>
  <c r="L683" i="1" a="1"/>
  <c r="L683" i="1" s="1"/>
  <c r="L684" i="1" a="1"/>
  <c r="L684" i="1" s="1"/>
  <c r="L685" i="1" a="1"/>
  <c r="L685" i="1" s="1"/>
  <c r="L686" i="1" a="1"/>
  <c r="L686" i="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c r="L698" i="1" a="1"/>
  <c r="L698" i="1" s="1"/>
  <c r="L699" i="1" a="1"/>
  <c r="L699" i="1" s="1"/>
  <c r="L700" i="1" a="1"/>
  <c r="L700" i="1" s="1"/>
  <c r="L701" i="1" a="1"/>
  <c r="L701" i="1" s="1"/>
  <c r="L702" i="1" a="1"/>
  <c r="L702" i="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c r="L714" i="1" a="1"/>
  <c r="L714" i="1" s="1"/>
  <c r="L715" i="1" a="1"/>
  <c r="L715" i="1" s="1"/>
  <c r="L716" i="1" a="1"/>
  <c r="L716" i="1" s="1"/>
  <c r="L717" i="1" a="1"/>
  <c r="L717" i="1" s="1"/>
  <c r="L718" i="1" a="1"/>
  <c r="L718" i="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c r="L730" i="1" a="1"/>
  <c r="L730" i="1" s="1"/>
  <c r="L731" i="1" a="1"/>
  <c r="L731" i="1" s="1"/>
  <c r="L732" i="1" a="1"/>
  <c r="L732" i="1" s="1"/>
  <c r="L733" i="1" a="1"/>
  <c r="L733" i="1" s="1"/>
  <c r="L734" i="1" a="1"/>
  <c r="L734" i="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c r="L746" i="1" a="1"/>
  <c r="L746" i="1" s="1"/>
  <c r="L747" i="1" a="1"/>
  <c r="L747" i="1" s="1"/>
  <c r="L748" i="1" a="1"/>
  <c r="L748" i="1" s="1"/>
  <c r="L749" i="1" a="1"/>
  <c r="L749" i="1" s="1"/>
  <c r="L750" i="1" a="1"/>
  <c r="L750" i="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c r="L762" i="1" a="1"/>
  <c r="L762" i="1" s="1"/>
  <c r="L763" i="1" a="1"/>
  <c r="L763" i="1" s="1"/>
  <c r="L764" i="1" a="1"/>
  <c r="L764" i="1" s="1"/>
  <c r="L765" i="1" a="1"/>
  <c r="L765" i="1"/>
  <c r="L766" i="1" a="1"/>
  <c r="L766" i="1" s="1"/>
  <c r="L767" i="1" a="1"/>
  <c r="L767" i="1"/>
  <c r="L768" i="1" a="1"/>
  <c r="L768" i="1" s="1"/>
  <c r="L769" i="1" a="1"/>
  <c r="L769" i="1" s="1"/>
  <c r="L770" i="1" a="1"/>
  <c r="L770" i="1"/>
  <c r="L771" i="1" a="1"/>
  <c r="L771" i="1" s="1"/>
  <c r="L772" i="1" a="1"/>
  <c r="L772" i="1" s="1"/>
  <c r="L773" i="1" a="1"/>
  <c r="L773" i="1"/>
  <c r="L774" i="1" a="1"/>
  <c r="L774" i="1"/>
  <c r="L775" i="1" a="1"/>
  <c r="L775" i="1" s="1"/>
  <c r="L776" i="1" a="1"/>
  <c r="L776" i="1" s="1"/>
  <c r="L777" i="1" a="1"/>
  <c r="L777" i="1" s="1"/>
  <c r="L778" i="1" a="1"/>
  <c r="L778" i="1" s="1"/>
  <c r="L779" i="1" a="1"/>
  <c r="L779" i="1"/>
  <c r="L780" i="1" a="1"/>
  <c r="L780" i="1" s="1"/>
  <c r="L781" i="1" a="1"/>
  <c r="L781" i="1"/>
  <c r="L782" i="1" a="1"/>
  <c r="L782" i="1"/>
  <c r="L783" i="1" a="1"/>
  <c r="L783" i="1"/>
  <c r="L784" i="1" a="1"/>
  <c r="L784" i="1" s="1"/>
  <c r="L785" i="1" a="1"/>
  <c r="L785" i="1" s="1"/>
  <c r="L786" i="1" a="1"/>
  <c r="L786" i="1" s="1"/>
  <c r="L787" i="1" a="1"/>
  <c r="L787" i="1" s="1"/>
  <c r="L788" i="1" a="1"/>
  <c r="L788" i="1" s="1"/>
  <c r="L789" i="1" a="1"/>
  <c r="L789" i="1" s="1"/>
  <c r="L790" i="1" a="1"/>
  <c r="L790" i="1"/>
  <c r="L791" i="1" a="1"/>
  <c r="L791" i="1"/>
  <c r="L792" i="1" a="1"/>
  <c r="L792" i="1" s="1"/>
  <c r="L793" i="1" a="1"/>
  <c r="L793" i="1"/>
  <c r="L794" i="1" a="1"/>
  <c r="L794" i="1" s="1"/>
  <c r="L795" i="1" a="1"/>
  <c r="L795" i="1" s="1"/>
  <c r="L796" i="1" a="1"/>
  <c r="L796" i="1" s="1"/>
  <c r="L797" i="1" a="1"/>
  <c r="L797" i="1"/>
  <c r="L798" i="1" a="1"/>
  <c r="L798" i="1" s="1"/>
  <c r="L799" i="1" a="1"/>
  <c r="L799" i="1"/>
  <c r="L800" i="1" a="1"/>
  <c r="L800" i="1" s="1"/>
  <c r="L801" i="1" a="1"/>
  <c r="L801" i="1" s="1"/>
  <c r="L802" i="1" a="1"/>
  <c r="L802" i="1"/>
  <c r="L803" i="1" a="1"/>
  <c r="L803" i="1" s="1"/>
  <c r="L804" i="1" a="1"/>
  <c r="L804" i="1" s="1"/>
  <c r="L805" i="1" a="1"/>
  <c r="L805" i="1"/>
  <c r="L806" i="1" a="1"/>
  <c r="L806" i="1"/>
  <c r="L807" i="1" a="1"/>
  <c r="L807" i="1" s="1"/>
  <c r="L808" i="1" a="1"/>
  <c r="L808" i="1" s="1"/>
  <c r="L809" i="1" a="1"/>
  <c r="L809" i="1" s="1"/>
  <c r="L810" i="1" a="1"/>
  <c r="L810" i="1" s="1"/>
  <c r="L811" i="1" a="1"/>
  <c r="L811" i="1"/>
  <c r="L812" i="1" a="1"/>
  <c r="L812" i="1" s="1"/>
  <c r="L813" i="1" a="1"/>
  <c r="L813" i="1"/>
  <c r="L814" i="1" a="1"/>
  <c r="L814" i="1"/>
  <c r="L815" i="1" a="1"/>
  <c r="L815" i="1"/>
  <c r="L816" i="1" a="1"/>
  <c r="L816" i="1" s="1"/>
  <c r="L817" i="1" a="1"/>
  <c r="L817" i="1" s="1"/>
  <c r="L818" i="1" a="1"/>
  <c r="L818" i="1" s="1"/>
  <c r="L819" i="1" a="1"/>
  <c r="L819" i="1" s="1"/>
  <c r="L820" i="1" a="1"/>
  <c r="L820" i="1" s="1"/>
  <c r="L821" i="1" a="1"/>
  <c r="L821" i="1"/>
  <c r="L822" i="1" a="1"/>
  <c r="L822" i="1"/>
  <c r="L823" i="1" a="1"/>
  <c r="L823" i="1"/>
  <c r="L824" i="1" a="1"/>
  <c r="L824" i="1" s="1"/>
  <c r="L825" i="1" a="1"/>
  <c r="L825" i="1"/>
  <c r="L826" i="1" a="1"/>
  <c r="L826" i="1" s="1"/>
  <c r="L827" i="1" a="1"/>
  <c r="L827" i="1" s="1"/>
  <c r="L828" i="1" a="1"/>
  <c r="L828" i="1" s="1"/>
  <c r="L829" i="1" a="1"/>
  <c r="L829" i="1"/>
  <c r="L830" i="1" a="1"/>
  <c r="L830" i="1" s="1"/>
  <c r="L831" i="1" a="1"/>
  <c r="L831" i="1"/>
  <c r="L832" i="1" a="1"/>
  <c r="L832" i="1"/>
  <c r="L833" i="1" a="1"/>
  <c r="L833" i="1"/>
  <c r="L834" i="1" a="1"/>
  <c r="L834" i="1"/>
  <c r="L835" i="1" a="1"/>
  <c r="L835" i="1"/>
  <c r="L836" i="1" a="1"/>
  <c r="L836" i="1"/>
  <c r="L837" i="1" a="1"/>
  <c r="L837" i="1"/>
  <c r="L838" i="1" a="1"/>
  <c r="L838" i="1"/>
  <c r="L839" i="1" a="1"/>
  <c r="L839" i="1"/>
  <c r="L840" i="1" a="1"/>
  <c r="L840" i="1"/>
  <c r="L841" i="1" a="1"/>
  <c r="L841" i="1"/>
  <c r="L842" i="1" a="1"/>
  <c r="L842" i="1"/>
  <c r="L843" i="1" a="1"/>
  <c r="L843" i="1"/>
  <c r="L844" i="1" a="1"/>
  <c r="L844" i="1"/>
  <c r="L845" i="1" a="1"/>
  <c r="L845" i="1"/>
  <c r="L846" i="1" a="1"/>
  <c r="L846" i="1" s="1"/>
  <c r="L847" i="1" a="1"/>
  <c r="L847" i="1"/>
  <c r="L848" i="1" a="1"/>
  <c r="L848" i="1"/>
  <c r="L849" i="1" a="1"/>
  <c r="L849" i="1"/>
  <c r="L850" i="1" a="1"/>
  <c r="L850" i="1" s="1"/>
  <c r="L851" i="1" a="1"/>
  <c r="L851" i="1"/>
  <c r="L852" i="1" a="1"/>
  <c r="L852" i="1"/>
  <c r="L853" i="1" a="1"/>
  <c r="L853" i="1"/>
  <c r="L854" i="1" a="1"/>
  <c r="L854" i="1" s="1"/>
  <c r="L855" i="1" a="1"/>
  <c r="L855" i="1"/>
  <c r="L856" i="1" a="1"/>
  <c r="L856" i="1"/>
  <c r="L857" i="1" a="1"/>
  <c r="L857" i="1"/>
  <c r="L858" i="1" a="1"/>
  <c r="L858" i="1" s="1"/>
  <c r="L859" i="1" a="1"/>
  <c r="L859" i="1"/>
  <c r="L860" i="1" a="1"/>
  <c r="L860" i="1"/>
  <c r="L861" i="1" a="1"/>
  <c r="L861" i="1"/>
  <c r="L862" i="1" a="1"/>
  <c r="L862" i="1" s="1"/>
  <c r="L863" i="1" a="1"/>
  <c r="L863" i="1"/>
  <c r="L864" i="1" a="1"/>
  <c r="L864" i="1"/>
  <c r="L865" i="1" a="1"/>
  <c r="L865" i="1"/>
  <c r="L866" i="1" a="1"/>
  <c r="L866" i="1" s="1"/>
  <c r="L867" i="1" a="1"/>
  <c r="L867" i="1"/>
  <c r="L868" i="1" a="1"/>
  <c r="L868" i="1"/>
  <c r="L869" i="1" a="1"/>
  <c r="L869" i="1"/>
  <c r="L870" i="1" a="1"/>
  <c r="L870" i="1" s="1"/>
  <c r="L871" i="1" a="1"/>
  <c r="L871" i="1"/>
  <c r="L872" i="1" a="1"/>
  <c r="L872" i="1"/>
  <c r="L873" i="1" a="1"/>
  <c r="L873" i="1"/>
  <c r="L874" i="1" a="1"/>
  <c r="L874" i="1" s="1"/>
  <c r="L875" i="1" a="1"/>
  <c r="L875" i="1"/>
  <c r="L876" i="1" a="1"/>
  <c r="L876" i="1"/>
  <c r="L877" i="1" a="1"/>
  <c r="L877" i="1"/>
  <c r="L878" i="1" a="1"/>
  <c r="L878" i="1" s="1"/>
  <c r="L879" i="1" a="1"/>
  <c r="L879" i="1"/>
  <c r="L880" i="1" a="1"/>
  <c r="L880" i="1"/>
  <c r="L881" i="1" a="1"/>
  <c r="L881" i="1"/>
  <c r="L882" i="1" a="1"/>
  <c r="L882" i="1" s="1"/>
  <c r="L883" i="1" a="1"/>
  <c r="L883" i="1"/>
  <c r="L884" i="1" a="1"/>
  <c r="L884" i="1"/>
  <c r="L885" i="1" a="1"/>
  <c r="L885" i="1"/>
  <c r="L886" i="1" a="1"/>
  <c r="L886" i="1" s="1"/>
  <c r="L887" i="1" a="1"/>
  <c r="L887" i="1"/>
  <c r="L888" i="1" a="1"/>
  <c r="L888" i="1"/>
  <c r="L889" i="1" a="1"/>
  <c r="L889" i="1" s="1"/>
  <c r="L890" i="1" a="1"/>
  <c r="L890" i="1" s="1"/>
  <c r="L891" i="1" a="1"/>
  <c r="L891" i="1"/>
  <c r="L892" i="1" a="1"/>
  <c r="L892" i="1"/>
  <c r="L893" i="1" a="1"/>
  <c r="L893" i="1" s="1"/>
  <c r="L894" i="1" a="1"/>
  <c r="L894" i="1" s="1"/>
  <c r="L895" i="1" a="1"/>
  <c r="L895" i="1"/>
  <c r="L896" i="1" a="1"/>
  <c r="L896" i="1"/>
  <c r="L897" i="1" a="1"/>
  <c r="L897" i="1" s="1"/>
  <c r="L898" i="1" a="1"/>
  <c r="L898" i="1" s="1"/>
  <c r="L899" i="1" a="1"/>
  <c r="L899" i="1"/>
  <c r="L900" i="1" a="1"/>
  <c r="L900" i="1" s="1"/>
  <c r="L901" i="1" a="1"/>
  <c r="L901" i="1" s="1"/>
  <c r="L902" i="1" a="1"/>
  <c r="L902" i="1" s="1"/>
  <c r="L903" i="1" a="1"/>
  <c r="L903" i="1"/>
  <c r="L904" i="1" a="1"/>
  <c r="L904" i="1" s="1"/>
  <c r="L905" i="1" a="1"/>
  <c r="L905" i="1" s="1"/>
  <c r="L906" i="1" a="1"/>
  <c r="L906" i="1" s="1"/>
  <c r="L907" i="1" a="1"/>
  <c r="L907" i="1"/>
  <c r="L908" i="1" a="1"/>
  <c r="L908" i="1" s="1"/>
  <c r="L909" i="1" a="1"/>
  <c r="L909" i="1" s="1"/>
  <c r="L910" i="1" a="1"/>
  <c r="L910" i="1" s="1"/>
  <c r="L911" i="1" a="1"/>
  <c r="L911" i="1"/>
  <c r="L912" i="1" a="1"/>
  <c r="L912" i="1" s="1"/>
  <c r="L913" i="1" a="1"/>
  <c r="L913" i="1" s="1"/>
  <c r="L914" i="1" a="1"/>
  <c r="L914" i="1" s="1"/>
  <c r="L915" i="1" a="1"/>
  <c r="L915" i="1"/>
  <c r="L916" i="1" a="1"/>
  <c r="L916" i="1" s="1"/>
  <c r="L917" i="1" a="1"/>
  <c r="L917" i="1" s="1"/>
  <c r="L918" i="1" a="1"/>
  <c r="L918" i="1" s="1"/>
  <c r="L919" i="1" a="1"/>
  <c r="L919" i="1"/>
  <c r="L920" i="1" a="1"/>
  <c r="L920" i="1" s="1"/>
  <c r="L921" i="1" a="1"/>
  <c r="L921" i="1" s="1"/>
  <c r="L922" i="1" a="1"/>
  <c r="L922" i="1" s="1"/>
  <c r="L923" i="1" a="1"/>
  <c r="L923" i="1"/>
  <c r="L924" i="1" a="1"/>
  <c r="L924" i="1" s="1"/>
  <c r="L925" i="1" a="1"/>
  <c r="L925" i="1" s="1"/>
  <c r="L926" i="1" a="1"/>
  <c r="L926" i="1" s="1"/>
  <c r="L927" i="1" a="1"/>
  <c r="L927" i="1"/>
  <c r="L928" i="1" a="1"/>
  <c r="L928" i="1" s="1"/>
  <c r="L929" i="1" a="1"/>
  <c r="L929" i="1" s="1"/>
  <c r="L930" i="1" a="1"/>
  <c r="L930" i="1" s="1"/>
  <c r="L931" i="1" a="1"/>
  <c r="L931" i="1"/>
  <c r="L932" i="1" a="1"/>
  <c r="L932" i="1" s="1"/>
  <c r="L933" i="1" a="1"/>
  <c r="L933" i="1" s="1"/>
  <c r="L934" i="1" a="1"/>
  <c r="L934" i="1" s="1"/>
  <c r="L935" i="1" a="1"/>
  <c r="L935" i="1"/>
  <c r="L936" i="1" a="1"/>
  <c r="L936" i="1" s="1"/>
  <c r="L937" i="1" a="1"/>
  <c r="L937" i="1" s="1"/>
  <c r="L938" i="1" a="1"/>
  <c r="L938" i="1" s="1"/>
  <c r="L939" i="1" a="1"/>
  <c r="L939" i="1"/>
  <c r="L940" i="1" a="1"/>
  <c r="L940" i="1" s="1"/>
  <c r="L941" i="1" a="1"/>
  <c r="L941" i="1" s="1"/>
  <c r="L942" i="1" a="1"/>
  <c r="L942" i="1" s="1"/>
  <c r="L943" i="1" a="1"/>
  <c r="L943" i="1"/>
  <c r="L944" i="1" a="1"/>
  <c r="L944" i="1" s="1"/>
  <c r="L945" i="1" a="1"/>
  <c r="L945" i="1" s="1"/>
  <c r="L946" i="1" a="1"/>
  <c r="L946" i="1" s="1"/>
  <c r="L947" i="1" a="1"/>
  <c r="L947" i="1"/>
  <c r="L948" i="1" a="1"/>
  <c r="L948" i="1" s="1"/>
  <c r="L949" i="1" a="1"/>
  <c r="L949" i="1" s="1"/>
  <c r="L950" i="1" a="1"/>
  <c r="L950" i="1" s="1"/>
  <c r="L951" i="1" a="1"/>
  <c r="L951" i="1"/>
  <c r="L952" i="1" a="1"/>
  <c r="L952" i="1" s="1"/>
  <c r="L953" i="1" a="1"/>
  <c r="L953" i="1" s="1"/>
  <c r="L954" i="1" a="1"/>
  <c r="L954" i="1" s="1"/>
  <c r="L955" i="1" a="1"/>
  <c r="L955" i="1"/>
  <c r="L956" i="1" a="1"/>
  <c r="L956" i="1" s="1"/>
  <c r="L957" i="1" a="1"/>
  <c r="L957" i="1" s="1"/>
  <c r="L958" i="1" a="1"/>
  <c r="L958" i="1" s="1"/>
  <c r="L959" i="1" a="1"/>
  <c r="L959" i="1"/>
  <c r="L960" i="1" a="1"/>
  <c r="L960" i="1" s="1"/>
  <c r="L961" i="1" a="1"/>
  <c r="L961" i="1" s="1"/>
  <c r="L962" i="1" a="1"/>
  <c r="L962" i="1" s="1"/>
  <c r="L963" i="1" a="1"/>
  <c r="L963" i="1"/>
  <c r="L964" i="1" a="1"/>
  <c r="L964" i="1" s="1"/>
  <c r="L965" i="1" a="1"/>
  <c r="L965" i="1" s="1"/>
  <c r="L966" i="1" a="1"/>
  <c r="L966" i="1" s="1"/>
  <c r="L967" i="1" a="1"/>
  <c r="L967" i="1"/>
  <c r="L968" i="1" a="1"/>
  <c r="L968" i="1" s="1"/>
  <c r="L969" i="1" a="1"/>
  <c r="L969" i="1" s="1"/>
  <c r="L970" i="1" a="1"/>
  <c r="L970" i="1" s="1"/>
  <c r="L971" i="1" a="1"/>
  <c r="L971" i="1"/>
  <c r="L972" i="1" a="1"/>
  <c r="L972" i="1" s="1"/>
  <c r="L973" i="1" a="1"/>
  <c r="L973" i="1" s="1"/>
  <c r="L974" i="1" a="1"/>
  <c r="L974" i="1" s="1"/>
  <c r="L975" i="1" a="1"/>
  <c r="L975" i="1"/>
  <c r="L976" i="1" a="1"/>
  <c r="L976" i="1" s="1"/>
  <c r="L977" i="1" a="1"/>
  <c r="L977" i="1" s="1"/>
  <c r="L978" i="1" a="1"/>
  <c r="L978" i="1" s="1"/>
  <c r="L979" i="1" a="1"/>
  <c r="L979" i="1"/>
  <c r="L980" i="1" a="1"/>
  <c r="L980" i="1" s="1"/>
  <c r="L981" i="1" a="1"/>
  <c r="L981" i="1" s="1"/>
  <c r="L982" i="1" a="1"/>
  <c r="L982" i="1" s="1"/>
  <c r="L983" i="1" a="1"/>
  <c r="L983" i="1"/>
  <c r="L984" i="1" a="1"/>
  <c r="L984" i="1" s="1"/>
  <c r="L985" i="1" a="1"/>
  <c r="L985" i="1" s="1"/>
  <c r="L986" i="1" a="1"/>
  <c r="L986" i="1" s="1"/>
  <c r="L987" i="1" a="1"/>
  <c r="L987" i="1"/>
  <c r="L988" i="1" a="1"/>
  <c r="L988" i="1" s="1"/>
  <c r="L989" i="1" a="1"/>
  <c r="L989" i="1" s="1"/>
  <c r="L990" i="1" a="1"/>
  <c r="L990" i="1" s="1"/>
  <c r="L991" i="1" a="1"/>
  <c r="L991" i="1"/>
  <c r="L992" i="1" a="1"/>
  <c r="L992" i="1" s="1"/>
  <c r="L993" i="1" a="1"/>
  <c r="L993" i="1" s="1"/>
  <c r="L994" i="1" a="1"/>
  <c r="L994" i="1" s="1"/>
  <c r="L995" i="1" a="1"/>
  <c r="L995" i="1"/>
  <c r="L996" i="1" a="1"/>
  <c r="L996" i="1" s="1"/>
  <c r="L997" i="1" a="1"/>
  <c r="L997" i="1" s="1"/>
  <c r="L998" i="1" a="1"/>
  <c r="L998" i="1" s="1"/>
  <c r="L999" i="1" a="1"/>
  <c r="L999" i="1"/>
  <c r="L1000" i="1" a="1"/>
  <c r="L1000" i="1" s="1"/>
  <c r="L1001" i="1" a="1"/>
  <c r="L1001" i="1" s="1"/>
  <c r="L2" i="1" a="1"/>
  <c r="L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B9" i="3"/>
  <c r="B11" i="3"/>
  <c r="B5" i="3"/>
  <c r="B4" i="3"/>
  <c r="B7" i="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<sst xmlns="http://schemas.openxmlformats.org/spreadsheetml/2006/main" count="5089" uniqueCount="98">
  <si>
    <t>Gender</t>
  </si>
  <si>
    <t>Age</t>
  </si>
  <si>
    <t>NS1</t>
  </si>
  <si>
    <t>IgG</t>
  </si>
  <si>
    <t>IgM</t>
  </si>
  <si>
    <t>Area</t>
  </si>
  <si>
    <t>AreaType</t>
  </si>
  <si>
    <t>HouseType</t>
  </si>
  <si>
    <t>District</t>
  </si>
  <si>
    <t>Outcome</t>
  </si>
  <si>
    <t>Female</t>
  </si>
  <si>
    <t>Mirpur</t>
  </si>
  <si>
    <t>Undeveloped</t>
  </si>
  <si>
    <t>Building</t>
  </si>
  <si>
    <t>Dhaka</t>
  </si>
  <si>
    <t>Male</t>
  </si>
  <si>
    <t>Chawkbazar</t>
  </si>
  <si>
    <t>Developed</t>
  </si>
  <si>
    <t>Paltan</t>
  </si>
  <si>
    <t>Other</t>
  </si>
  <si>
    <t>Motijheel</t>
  </si>
  <si>
    <t>Gendaria</t>
  </si>
  <si>
    <t>Dhanmondi</t>
  </si>
  <si>
    <t>New Market</t>
  </si>
  <si>
    <t>Tinshed</t>
  </si>
  <si>
    <t>Sher-e-Bangla Nagar</t>
  </si>
  <si>
    <t>Kafrul</t>
  </si>
  <si>
    <t>Pallabi</t>
  </si>
  <si>
    <t>Mohammadpur</t>
  </si>
  <si>
    <t>Shahbagh</t>
  </si>
  <si>
    <t>Shyampur</t>
  </si>
  <si>
    <t>Kalabagan</t>
  </si>
  <si>
    <t>Bosila</t>
  </si>
  <si>
    <t>Jatrabari</t>
  </si>
  <si>
    <t>Adabor</t>
  </si>
  <si>
    <t>Kamrangirchar</t>
  </si>
  <si>
    <t>Biman Bandar</t>
  </si>
  <si>
    <t>Ramna</t>
  </si>
  <si>
    <t>Badda</t>
  </si>
  <si>
    <t>Bangshal</t>
  </si>
  <si>
    <t>Sabujbagh</t>
  </si>
  <si>
    <t>Hazaribagh</t>
  </si>
  <si>
    <t>Sutrapur</t>
  </si>
  <si>
    <t>Lalbagh</t>
  </si>
  <si>
    <t>Demra</t>
  </si>
  <si>
    <t>Banasree</t>
  </si>
  <si>
    <t>Cantonment</t>
  </si>
  <si>
    <t>Keraniganj</t>
  </si>
  <si>
    <t>Tejgaon</t>
  </si>
  <si>
    <t>Khilkhet</t>
  </si>
  <si>
    <t>Kadamtali</t>
  </si>
  <si>
    <t>Gulshan</t>
  </si>
  <si>
    <t>Rampura</t>
  </si>
  <si>
    <t>Khilgaon</t>
  </si>
  <si>
    <t>Total Patient</t>
  </si>
  <si>
    <t>Sum of Outcome</t>
  </si>
  <si>
    <t>Row Labels</t>
  </si>
  <si>
    <t>Grand Total</t>
  </si>
  <si>
    <t>Affected Patients</t>
  </si>
  <si>
    <t>Average of Age</t>
  </si>
  <si>
    <t>Average age of patients</t>
  </si>
  <si>
    <t>Total Area</t>
  </si>
  <si>
    <t>Final Outcome</t>
  </si>
  <si>
    <t>Age Group</t>
  </si>
  <si>
    <t>Count of Final Outcome</t>
  </si>
  <si>
    <t>Column Labels</t>
  </si>
  <si>
    <t>Adolescent(13-18)</t>
  </si>
  <si>
    <t>Older Adult(&gt;60)</t>
  </si>
  <si>
    <t>Child(&lt;13)</t>
  </si>
  <si>
    <t>Middle-aged Adult(36-60)</t>
  </si>
  <si>
    <t>Young Adult(19-35)</t>
  </si>
  <si>
    <t>Affected</t>
  </si>
  <si>
    <t>Not Affected</t>
  </si>
  <si>
    <t>Total</t>
  </si>
  <si>
    <t>Dengue cases</t>
  </si>
  <si>
    <t>Total NS1</t>
  </si>
  <si>
    <t>Total IgG</t>
  </si>
  <si>
    <t>Total IgM</t>
  </si>
  <si>
    <t>Prevalence Rate</t>
  </si>
  <si>
    <t>Number of patients</t>
  </si>
  <si>
    <t>Dengue Cases</t>
  </si>
  <si>
    <t>Area Types</t>
  </si>
  <si>
    <t>House Type</t>
  </si>
  <si>
    <t>Total Patients</t>
  </si>
  <si>
    <t>Mean</t>
  </si>
  <si>
    <t>Standard Error</t>
  </si>
  <si>
    <t>Median</t>
  </si>
  <si>
    <t>Mode</t>
  </si>
  <si>
    <t>Standard Deviation</t>
  </si>
  <si>
    <t>Sample Variance</t>
  </si>
  <si>
    <t>Kurtosis</t>
  </si>
  <si>
    <t>Skewness</t>
  </si>
  <si>
    <t>Range</t>
  </si>
  <si>
    <t>Minimum</t>
  </si>
  <si>
    <t>Maximum</t>
  </si>
  <si>
    <t>Sum</t>
  </si>
  <si>
    <t>Count</t>
  </si>
  <si>
    <t>Summary of the age of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</si>
</sst>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9"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33" borderId="10" xfId="0" applyFont="1" applyFill="1" applyBorder="1"/>
    <xf numFmtId="0" fontId="0" fillId="34" borderId="0" xfId="0" applyFill="1"/>
    <xf numFmtId="3" fontId="0" fillId="0" borderId="0" xfId="0" applyNumberFormat="1"/>
    <xf numFmtId="3" fontId="0" fillId="34" borderId="0" xfId="0" applyNumberFormat="1" applyFill="1"/>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10" fontId="0" fillId="0" borderId="0" xfId="0" applyNumberFormat="1"/>
    <xf numFmtId="0" fontId="18" fillId="0" borderId="0" xfId="0" applyFont="1"/>
    <xf numFmtId="164" fontId="0" fillId="0" borderId="0" xfId="0" applyNumberFormat="1"/>
    <xf numFmtId="0" fontId="0" fillId="0" borderId="11" xfId="0" applyBorder="1"/>
    <xf numFmtId="0" fontId="19" fillId="0" borderId="12" xfId="0" applyFont="1" applyBorder="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7979"/>
      <color rgb="FFE74E35"/>
      <color rgb="FFFF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Dashboard.xlsx]Pivot for KPI!Top ten Area</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65000"/>
                    <a:lumOff val="35000"/>
                  </a:schemeClr>
                </a:solidFill>
              </a:rPr>
              <a:t>Top 10 Affected</a:t>
            </a:r>
            <a:r>
              <a:rPr lang="en-US" sz="1800" b="1" baseline="0">
                <a:solidFill>
                  <a:schemeClr val="tx1">
                    <a:lumMod val="65000"/>
                    <a:lumOff val="35000"/>
                  </a:schemeClr>
                </a:solidFill>
              </a:rPr>
              <a:t> Areas</a:t>
            </a:r>
            <a:r>
              <a:rPr lang="en-US" sz="1800" b="1">
                <a:solidFill>
                  <a:schemeClr val="tx1">
                    <a:lumMod val="65000"/>
                    <a:lumOff val="35000"/>
                  </a:scheme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68181642233875E-2"/>
          <c:y val="0.20209236901646055"/>
          <c:w val="0.93003901081532536"/>
          <c:h val="0.48210865823833127"/>
        </c:manualLayout>
      </c:layout>
      <c:barChart>
        <c:barDir val="col"/>
        <c:grouping val="clustered"/>
        <c:varyColors val="0"/>
        <c:ser>
          <c:idx val="0"/>
          <c:order val="0"/>
          <c:tx>
            <c:strRef>
              <c:f>'Pivot for KPI'!$C$14</c:f>
              <c:strCache>
                <c:ptCount val="1"/>
                <c:pt idx="0">
                  <c:v>Total</c:v>
                </c:pt>
              </c:strCache>
            </c:strRef>
          </c:tx>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for KPI'!$B$15:$B$25</c:f>
              <c:strCache>
                <c:ptCount val="10"/>
                <c:pt idx="0">
                  <c:v>Jatrabari</c:v>
                </c:pt>
                <c:pt idx="1">
                  <c:v>Demra</c:v>
                </c:pt>
                <c:pt idx="2">
                  <c:v>Tejgaon</c:v>
                </c:pt>
                <c:pt idx="3">
                  <c:v>Bangshal</c:v>
                </c:pt>
                <c:pt idx="4">
                  <c:v>Mohammadpur</c:v>
                </c:pt>
                <c:pt idx="5">
                  <c:v>Mirpur</c:v>
                </c:pt>
                <c:pt idx="6">
                  <c:v>Kadamtali</c:v>
                </c:pt>
                <c:pt idx="7">
                  <c:v>Badda</c:v>
                </c:pt>
                <c:pt idx="8">
                  <c:v>Kafrul</c:v>
                </c:pt>
                <c:pt idx="9">
                  <c:v>Dhanmondi</c:v>
                </c:pt>
              </c:strCache>
            </c:strRef>
          </c:cat>
          <c:val>
            <c:numRef>
              <c:f>'Pivot for KPI'!$C$15:$C$25</c:f>
              <c:numCache>
                <c:formatCode>0</c:formatCode>
                <c:ptCount val="10"/>
                <c:pt idx="0">
                  <c:v>31</c:v>
                </c:pt>
                <c:pt idx="1">
                  <c:v>26</c:v>
                </c:pt>
                <c:pt idx="2">
                  <c:v>24</c:v>
                </c:pt>
                <c:pt idx="3">
                  <c:v>24</c:v>
                </c:pt>
                <c:pt idx="4">
                  <c:v>20</c:v>
                </c:pt>
                <c:pt idx="5">
                  <c:v>19</c:v>
                </c:pt>
                <c:pt idx="6">
                  <c:v>19</c:v>
                </c:pt>
                <c:pt idx="7">
                  <c:v>17</c:v>
                </c:pt>
                <c:pt idx="8">
                  <c:v>17</c:v>
                </c:pt>
                <c:pt idx="9">
                  <c:v>17</c:v>
                </c:pt>
              </c:numCache>
            </c:numRef>
          </c:val>
          <c:extLst>
            <c:ext xmlns:c16="http://schemas.microsoft.com/office/drawing/2014/chart" uri="{C3380CC4-5D6E-409C-BE32-E72D297353CC}">
              <c16:uniqueId val="{00000000-983A-4C57-8DAA-C4FE2D371761}"/>
            </c:ext>
          </c:extLst>
        </c:ser>
        <c:dLbls>
          <c:showLegendKey val="0"/>
          <c:showVal val="0"/>
          <c:showCatName val="0"/>
          <c:showSerName val="0"/>
          <c:showPercent val="0"/>
          <c:showBubbleSize val="0"/>
        </c:dLbls>
        <c:gapWidth val="104"/>
        <c:overlap val="-27"/>
        <c:axId val="1279967664"/>
        <c:axId val="1279962864"/>
      </c:barChart>
      <c:catAx>
        <c:axId val="127996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9962864"/>
        <c:crosses val="autoZero"/>
        <c:auto val="1"/>
        <c:lblAlgn val="ctr"/>
        <c:lblOffset val="100"/>
        <c:noMultiLvlLbl val="0"/>
      </c:catAx>
      <c:valAx>
        <c:axId val="1279962864"/>
        <c:scaling>
          <c:orientation val="minMax"/>
        </c:scaling>
        <c:delete val="1"/>
        <c:axPos val="l"/>
        <c:numFmt formatCode="0" sourceLinked="1"/>
        <c:majorTickMark val="none"/>
        <c:minorTickMark val="none"/>
        <c:tickLblPos val="nextTo"/>
        <c:crossAx val="127996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Dashboard.xlsx]House Types vs cases!House Type</c:name>
    <c:fmtId val="7"/>
  </c:pivotSource>
  <c:chart>
    <c:title>
      <c:tx>
        <c:rich>
          <a:bodyPr rot="0" spcFirstLastPara="1" vertOverflow="ellipsis" vert="horz" wrap="square" anchor="ctr" anchorCtr="1"/>
          <a:lstStyle/>
          <a:p>
            <a:pPr algn="l">
              <a:defRPr sz="1600" b="0" i="0" u="none" strike="noStrike" kern="1200" spc="0" baseline="0">
                <a:solidFill>
                  <a:schemeClr val="tx1">
                    <a:lumMod val="65000"/>
                    <a:lumOff val="35000"/>
                  </a:schemeClr>
                </a:solidFill>
                <a:latin typeface="+mn-lt"/>
                <a:ea typeface="+mn-ea"/>
                <a:cs typeface="+mn-cs"/>
              </a:defRPr>
            </a:pPr>
            <a:r>
              <a:rPr lang="en-US" sz="1600" b="1"/>
              <a:t>House Type vs.</a:t>
            </a:r>
            <a:r>
              <a:rPr lang="en-US" sz="1600" b="1" baseline="0"/>
              <a:t> Cases</a:t>
            </a:r>
            <a:endParaRPr lang="en-US" sz="1600" b="1"/>
          </a:p>
        </c:rich>
      </c:tx>
      <c:layout>
        <c:manualLayout>
          <c:xMode val="edge"/>
          <c:yMode val="edge"/>
          <c:x val="0.25954510560831706"/>
          <c:y val="1.8823524761828067E-2"/>
        </c:manualLayout>
      </c:layout>
      <c:overlay val="0"/>
      <c:spPr>
        <a:noFill/>
        <a:ln>
          <a:noFill/>
        </a:ln>
        <a:effectLst/>
      </c:spPr>
      <c:txPr>
        <a:bodyPr rot="0" spcFirstLastPara="1" vertOverflow="ellipsis" vert="horz" wrap="square" anchor="ctr" anchorCtr="1"/>
        <a:lstStyle/>
        <a:p>
          <a:pPr algn="l">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4253357606066"/>
          <c:y val="0.27587400906488518"/>
          <c:w val="0.77599748499404153"/>
          <c:h val="0.6916470866549177"/>
        </c:manualLayout>
      </c:layout>
      <c:barChart>
        <c:barDir val="bar"/>
        <c:grouping val="clustered"/>
        <c:varyColors val="0"/>
        <c:ser>
          <c:idx val="0"/>
          <c:order val="0"/>
          <c:tx>
            <c:strRef>
              <c:f>'House Types vs cases'!$B$3</c:f>
              <c:strCache>
                <c:ptCount val="1"/>
                <c:pt idx="0">
                  <c:v>Dengue cases</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 Types vs cases'!$A$4:$A$7</c:f>
              <c:strCache>
                <c:ptCount val="3"/>
                <c:pt idx="0">
                  <c:v>Other</c:v>
                </c:pt>
                <c:pt idx="1">
                  <c:v>Tinshed</c:v>
                </c:pt>
                <c:pt idx="2">
                  <c:v>Building</c:v>
                </c:pt>
              </c:strCache>
            </c:strRef>
          </c:cat>
          <c:val>
            <c:numRef>
              <c:f>'House Types vs cases'!$B$4:$B$7</c:f>
              <c:numCache>
                <c:formatCode>General</c:formatCode>
                <c:ptCount val="3"/>
                <c:pt idx="0">
                  <c:v>3</c:v>
                </c:pt>
                <c:pt idx="1">
                  <c:v>4</c:v>
                </c:pt>
                <c:pt idx="2">
                  <c:v>5</c:v>
                </c:pt>
              </c:numCache>
            </c:numRef>
          </c:val>
          <c:extLst>
            <c:ext xmlns:c16="http://schemas.microsoft.com/office/drawing/2014/chart" uri="{C3380CC4-5D6E-409C-BE32-E72D297353CC}">
              <c16:uniqueId val="{00000000-1513-45FF-BC6B-E43FCDEFC442}"/>
            </c:ext>
          </c:extLst>
        </c:ser>
        <c:ser>
          <c:idx val="1"/>
          <c:order val="1"/>
          <c:tx>
            <c:strRef>
              <c:f>'House Types vs cases'!$C$3</c:f>
              <c:strCache>
                <c:ptCount val="1"/>
                <c:pt idx="0">
                  <c:v>Total</c:v>
                </c:pt>
              </c:strCache>
            </c:strRef>
          </c:tx>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 Types vs cases'!$A$4:$A$7</c:f>
              <c:strCache>
                <c:ptCount val="3"/>
                <c:pt idx="0">
                  <c:v>Other</c:v>
                </c:pt>
                <c:pt idx="1">
                  <c:v>Tinshed</c:v>
                </c:pt>
                <c:pt idx="2">
                  <c:v>Building</c:v>
                </c:pt>
              </c:strCache>
            </c:strRef>
          </c:cat>
          <c:val>
            <c:numRef>
              <c:f>'House Types vs cases'!$C$4:$C$7</c:f>
              <c:numCache>
                <c:formatCode>General</c:formatCode>
                <c:ptCount val="3"/>
                <c:pt idx="0">
                  <c:v>10</c:v>
                </c:pt>
                <c:pt idx="1">
                  <c:v>11</c:v>
                </c:pt>
                <c:pt idx="2">
                  <c:v>9</c:v>
                </c:pt>
              </c:numCache>
            </c:numRef>
          </c:val>
          <c:extLst>
            <c:ext xmlns:c16="http://schemas.microsoft.com/office/drawing/2014/chart" uri="{C3380CC4-5D6E-409C-BE32-E72D297353CC}">
              <c16:uniqueId val="{00000001-1513-45FF-BC6B-E43FCDEFC442}"/>
            </c:ext>
          </c:extLst>
        </c:ser>
        <c:dLbls>
          <c:dLblPos val="inEnd"/>
          <c:showLegendKey val="0"/>
          <c:showVal val="1"/>
          <c:showCatName val="0"/>
          <c:showSerName val="0"/>
          <c:showPercent val="0"/>
          <c:showBubbleSize val="0"/>
        </c:dLbls>
        <c:gapWidth val="45"/>
        <c:axId val="1621076032"/>
        <c:axId val="1621075552"/>
      </c:barChart>
      <c:catAx>
        <c:axId val="1621076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21075552"/>
        <c:crosses val="autoZero"/>
        <c:auto val="1"/>
        <c:lblAlgn val="ctr"/>
        <c:lblOffset val="100"/>
        <c:noMultiLvlLbl val="0"/>
      </c:catAx>
      <c:valAx>
        <c:axId val="1621075552"/>
        <c:scaling>
          <c:orientation val="minMax"/>
        </c:scaling>
        <c:delete val="1"/>
        <c:axPos val="b"/>
        <c:numFmt formatCode="General" sourceLinked="1"/>
        <c:majorTickMark val="out"/>
        <c:minorTickMark val="none"/>
        <c:tickLblPos val="nextTo"/>
        <c:crossAx val="1621076032"/>
        <c:crosses val="autoZero"/>
        <c:crossBetween val="between"/>
      </c:valAx>
      <c:spPr>
        <a:noFill/>
        <a:ln>
          <a:noFill/>
        </a:ln>
        <a:effectLst/>
      </c:spPr>
    </c:plotArea>
    <c:legend>
      <c:legendPos val="t"/>
      <c:layout>
        <c:manualLayout>
          <c:xMode val="edge"/>
          <c:yMode val="edge"/>
          <c:x val="0.3118101462943873"/>
          <c:y val="0.13461426591992073"/>
          <c:w val="0.39123578911967483"/>
          <c:h val="0.11873437315615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Dashboard.xlsx]House Types vs cases!Area Type By cases</c:name>
    <c:fmtId val="7"/>
  </c:pivotSource>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en-US" b="1"/>
              <a:t>Dengue Cases by Area</a:t>
            </a:r>
            <a:r>
              <a:rPr lang="en-US" b="1" baseline="0"/>
              <a:t> Type</a:t>
            </a:r>
          </a:p>
          <a:p>
            <a:pPr>
              <a:defRPr/>
            </a:pPr>
            <a:r>
              <a:rPr lang="en-US" baseline="0"/>
              <a:t>(</a:t>
            </a:r>
            <a:r>
              <a:rPr lang="en-US" b="1" baseline="0">
                <a:solidFill>
                  <a:srgbClr val="92D050"/>
                </a:solidFill>
              </a:rPr>
              <a:t>Developed</a:t>
            </a:r>
            <a:r>
              <a:rPr lang="en-US" baseline="0"/>
              <a:t> &amp; </a:t>
            </a:r>
            <a:r>
              <a:rPr lang="en-US" b="1" baseline="0">
                <a:solidFill>
                  <a:srgbClr val="00B0F0"/>
                </a:solidFill>
              </a:rPr>
              <a:t>Undeveloped</a:t>
            </a:r>
            <a:r>
              <a:rPr lang="en-US" baseline="0"/>
              <a:t>)</a:t>
            </a:r>
            <a:r>
              <a:rPr lang="en-US"/>
              <a:t> </a:t>
            </a:r>
          </a:p>
        </c:rich>
      </c:tx>
      <c:layout>
        <c:manualLayout>
          <c:xMode val="edge"/>
          <c:yMode val="edge"/>
          <c:x val="0.17654616509364965"/>
          <c:y val="6.6874220730803015E-3"/>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00B0F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w="19050">
            <a:solidFill>
              <a:schemeClr val="lt1"/>
            </a:solidFill>
          </a:ln>
          <a:effectLst/>
        </c:spPr>
      </c:pivotFmt>
      <c:pivotFmt>
        <c:idx val="8"/>
        <c:spPr>
          <a:solidFill>
            <a:srgbClr val="92D05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13399116249707"/>
          <c:y val="0.27357140942489044"/>
          <c:w val="0.46841556197880319"/>
          <c:h val="0.69985475578023337"/>
        </c:manualLayout>
      </c:layout>
      <c:doughnutChart>
        <c:varyColors val="1"/>
        <c:ser>
          <c:idx val="0"/>
          <c:order val="0"/>
          <c:tx>
            <c:strRef>
              <c:f>'House Types vs cases'!$C$15</c:f>
              <c:strCache>
                <c:ptCount val="1"/>
                <c:pt idx="0">
                  <c:v>Total</c:v>
                </c:pt>
              </c:strCache>
            </c:strRef>
          </c:tx>
          <c:explosion val="6"/>
          <c:dPt>
            <c:idx val="0"/>
            <c:bubble3D val="0"/>
            <c:spPr>
              <a:solidFill>
                <a:srgbClr val="92D050"/>
              </a:solidFill>
              <a:ln w="19050">
                <a:solidFill>
                  <a:schemeClr val="lt1"/>
                </a:solidFill>
              </a:ln>
              <a:effectLst/>
            </c:spPr>
            <c:extLst>
              <c:ext xmlns:c16="http://schemas.microsoft.com/office/drawing/2014/chart" uri="{C3380CC4-5D6E-409C-BE32-E72D297353CC}">
                <c16:uniqueId val="{00000001-916B-437A-B6D3-202742D8928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16B-437A-B6D3-202742D892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'House Types vs cases'!$B$16:$B$18</c:f>
              <c:strCache>
                <c:ptCount val="2"/>
                <c:pt idx="0">
                  <c:v>Developed</c:v>
                </c:pt>
                <c:pt idx="1">
                  <c:v>Undeveloped</c:v>
                </c:pt>
              </c:strCache>
            </c:strRef>
          </c:cat>
          <c:val>
            <c:numRef>
              <c:f>'House Types vs cases'!$C$16:$C$18</c:f>
              <c:numCache>
                <c:formatCode>General</c:formatCode>
                <c:ptCount val="2"/>
                <c:pt idx="0">
                  <c:v>8</c:v>
                </c:pt>
                <c:pt idx="1">
                  <c:v>4</c:v>
                </c:pt>
              </c:numCache>
            </c:numRef>
          </c:val>
          <c:extLst>
            <c:ext xmlns:c16="http://schemas.microsoft.com/office/drawing/2014/chart" uri="{C3380CC4-5D6E-409C-BE32-E72D297353CC}">
              <c16:uniqueId val="{00000004-916B-437A-B6D3-202742D89283}"/>
            </c:ext>
          </c:extLst>
        </c:ser>
        <c:dLbls>
          <c:showLegendKey val="0"/>
          <c:showVal val="1"/>
          <c:showCatName val="0"/>
          <c:showSerName val="0"/>
          <c:showPercent val="0"/>
          <c:showBubbleSize val="0"/>
          <c:showLeaderLines val="1"/>
        </c:dLbls>
        <c:firstSliceAng val="0"/>
        <c:holeSize val="5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Dashboard.xlsx]Age grouping vs Disease!Disease cases by Age Group </c:name>
    <c:fmtId val="1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Percentage(%)</a:t>
            </a:r>
            <a:r>
              <a:rPr lang="en-US" b="1" baseline="0"/>
              <a:t> of </a:t>
            </a:r>
            <a:r>
              <a:rPr lang="en-US" sz="1400" b="1" i="0" u="none" strike="noStrike" baseline="0">
                <a:solidFill>
                  <a:srgbClr val="002060"/>
                </a:solidFill>
              </a:rPr>
              <a:t>Affected</a:t>
            </a:r>
            <a:r>
              <a:rPr lang="en-US" sz="1400" b="1" i="0" u="none" strike="noStrike" baseline="0">
                <a:solidFill>
                  <a:srgbClr val="E74E35"/>
                </a:solidFill>
              </a:rPr>
              <a:t> </a:t>
            </a:r>
            <a:r>
              <a:rPr lang="en-US" sz="1400" b="1" i="0" u="none" strike="noStrike" baseline="0"/>
              <a:t>vs.</a:t>
            </a:r>
            <a:r>
              <a:rPr lang="en-US" sz="1400" b="0" i="0" u="none" strike="noStrike" baseline="0"/>
              <a:t> </a:t>
            </a:r>
            <a:r>
              <a:rPr lang="en-US" sz="1400" b="1" i="0" u="none" strike="noStrike" baseline="0">
                <a:solidFill>
                  <a:srgbClr val="00B050"/>
                </a:solidFill>
              </a:rPr>
              <a:t>Unaffected</a:t>
            </a:r>
            <a:r>
              <a:rPr lang="en-US" sz="1400" b="0" i="0" u="none" strike="noStrike" baseline="0"/>
              <a:t> </a:t>
            </a:r>
            <a:r>
              <a:rPr lang="en-US" sz="1400" b="1" i="0" u="none" strike="noStrike" baseline="0"/>
              <a:t>Across </a:t>
            </a:r>
            <a:r>
              <a:rPr lang="en-US" sz="1400" b="1" i="0" u="none" strike="noStrike" baseline="0">
                <a:solidFill>
                  <a:sysClr val="windowText" lastClr="000000"/>
                </a:solidFill>
              </a:rPr>
              <a:t>Age Groups</a:t>
            </a:r>
            <a:endParaRPr lang="en-US" b="1">
              <a:solidFill>
                <a:sysClr val="windowText" lastClr="000000"/>
              </a:solidFill>
            </a:endParaRPr>
          </a:p>
        </c:rich>
      </c:tx>
      <c:layout>
        <c:manualLayout>
          <c:xMode val="edge"/>
          <c:yMode val="edge"/>
          <c:x val="0.14589965775475985"/>
          <c:y val="2.409459157398590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5000"/>
                  <a:lumOff val="95000"/>
                </a:schemeClr>
              </a:gs>
              <a:gs pos="0">
                <a:schemeClr val="accent3">
                  <a:lumMod val="45000"/>
                  <a:lumOff val="55000"/>
                </a:schemeClr>
              </a:gs>
              <a:gs pos="83000">
                <a:schemeClr val="accent3">
                  <a:lumMod val="45000"/>
                  <a:lumOff val="55000"/>
                </a:schemeClr>
              </a:gs>
              <a:gs pos="100000">
                <a:schemeClr val="accent3">
                  <a:lumMod val="30000"/>
                  <a:lumOff val="7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lgn="l">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lgn="l">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lgn="l">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56492633241068E-3"/>
          <c:y val="0.12863357255036892"/>
          <c:w val="0.98598186185181458"/>
          <c:h val="0.75395372107300751"/>
        </c:manualLayout>
      </c:layout>
      <c:barChart>
        <c:barDir val="col"/>
        <c:grouping val="stacked"/>
        <c:varyColors val="0"/>
        <c:ser>
          <c:idx val="0"/>
          <c:order val="0"/>
          <c:tx>
            <c:strRef>
              <c:f>'Age grouping vs Disease'!$B$3:$B$4</c:f>
              <c:strCache>
                <c:ptCount val="1"/>
                <c:pt idx="0">
                  <c:v>Affected</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grouping vs Disease'!$A$5:$A$10</c:f>
              <c:strCache>
                <c:ptCount val="5"/>
                <c:pt idx="0">
                  <c:v>Middle-aged Adult(36-60)</c:v>
                </c:pt>
                <c:pt idx="1">
                  <c:v>Young Adult(19-35)</c:v>
                </c:pt>
                <c:pt idx="2">
                  <c:v>Adolescent(13-18)</c:v>
                </c:pt>
                <c:pt idx="3">
                  <c:v>Older Adult(&gt;60)</c:v>
                </c:pt>
                <c:pt idx="4">
                  <c:v>Child(&lt;13)</c:v>
                </c:pt>
              </c:strCache>
            </c:strRef>
          </c:cat>
          <c:val>
            <c:numRef>
              <c:f>'Age grouping vs Disease'!$B$5:$B$10</c:f>
              <c:numCache>
                <c:formatCode>0%</c:formatCode>
                <c:ptCount val="5"/>
                <c:pt idx="0">
                  <c:v>0.2</c:v>
                </c:pt>
                <c:pt idx="1">
                  <c:v>6.6666666666666666E-2</c:v>
                </c:pt>
                <c:pt idx="2">
                  <c:v>3.3333333333333333E-2</c:v>
                </c:pt>
                <c:pt idx="3">
                  <c:v>0.1</c:v>
                </c:pt>
                <c:pt idx="4">
                  <c:v>0</c:v>
                </c:pt>
              </c:numCache>
            </c:numRef>
          </c:val>
          <c:extLst>
            <c:ext xmlns:c16="http://schemas.microsoft.com/office/drawing/2014/chart" uri="{C3380CC4-5D6E-409C-BE32-E72D297353CC}">
              <c16:uniqueId val="{00000000-B4CB-448B-BFCB-C571DA3687DD}"/>
            </c:ext>
          </c:extLst>
        </c:ser>
        <c:ser>
          <c:idx val="1"/>
          <c:order val="1"/>
          <c:tx>
            <c:strRef>
              <c:f>'Age grouping vs Disease'!$C$3:$C$4</c:f>
              <c:strCache>
                <c:ptCount val="1"/>
                <c:pt idx="0">
                  <c:v>Not Affected</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t" anchorCtr="0">
                <a:spAutoFit/>
              </a:bodyPr>
              <a:lstStyle/>
              <a:p>
                <a:pPr algn="l">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grouping vs Disease'!$A$5:$A$10</c:f>
              <c:strCache>
                <c:ptCount val="5"/>
                <c:pt idx="0">
                  <c:v>Middle-aged Adult(36-60)</c:v>
                </c:pt>
                <c:pt idx="1">
                  <c:v>Young Adult(19-35)</c:v>
                </c:pt>
                <c:pt idx="2">
                  <c:v>Adolescent(13-18)</c:v>
                </c:pt>
                <c:pt idx="3">
                  <c:v>Older Adult(&gt;60)</c:v>
                </c:pt>
                <c:pt idx="4">
                  <c:v>Child(&lt;13)</c:v>
                </c:pt>
              </c:strCache>
            </c:strRef>
          </c:cat>
          <c:val>
            <c:numRef>
              <c:f>'Age grouping vs Disease'!$C$5:$C$10</c:f>
              <c:numCache>
                <c:formatCode>0%</c:formatCode>
                <c:ptCount val="5"/>
                <c:pt idx="0">
                  <c:v>0.3</c:v>
                </c:pt>
                <c:pt idx="1">
                  <c:v>0.13333333333333333</c:v>
                </c:pt>
                <c:pt idx="2">
                  <c:v>6.6666666666666666E-2</c:v>
                </c:pt>
                <c:pt idx="3">
                  <c:v>0</c:v>
                </c:pt>
                <c:pt idx="4">
                  <c:v>0.1</c:v>
                </c:pt>
              </c:numCache>
            </c:numRef>
          </c:val>
          <c:extLst>
            <c:ext xmlns:c16="http://schemas.microsoft.com/office/drawing/2014/chart" uri="{C3380CC4-5D6E-409C-BE32-E72D297353CC}">
              <c16:uniqueId val="{00000002-7B70-4F39-B4A6-C562C788AB7C}"/>
            </c:ext>
          </c:extLst>
        </c:ser>
        <c:dLbls>
          <c:showLegendKey val="0"/>
          <c:showVal val="0"/>
          <c:showCatName val="0"/>
          <c:showSerName val="0"/>
          <c:showPercent val="0"/>
          <c:showBubbleSize val="0"/>
        </c:dLbls>
        <c:gapWidth val="97"/>
        <c:overlap val="100"/>
        <c:axId val="1475295792"/>
        <c:axId val="1475280432"/>
      </c:barChart>
      <c:catAx>
        <c:axId val="147529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475280432"/>
        <c:crosses val="autoZero"/>
        <c:auto val="1"/>
        <c:lblAlgn val="ctr"/>
        <c:lblOffset val="100"/>
        <c:noMultiLvlLbl val="0"/>
      </c:catAx>
      <c:valAx>
        <c:axId val="1475280432"/>
        <c:scaling>
          <c:orientation val="minMax"/>
        </c:scaling>
        <c:delete val="1"/>
        <c:axPos val="l"/>
        <c:numFmt formatCode="0%" sourceLinked="1"/>
        <c:majorTickMark val="none"/>
        <c:minorTickMark val="none"/>
        <c:tickLblPos val="nextTo"/>
        <c:crossAx val="1475295792"/>
        <c:crosses val="autoZero"/>
        <c:crossBetween val="between"/>
      </c:valAx>
      <c:spPr>
        <a:noFill/>
        <a:ln>
          <a:noFill/>
        </a:ln>
        <a:effectLst/>
      </c:spPr>
    </c:plotArea>
    <c:legend>
      <c:legendPos val="t"/>
      <c:layout>
        <c:manualLayout>
          <c:xMode val="edge"/>
          <c:yMode val="edge"/>
          <c:x val="0.34948594310219949"/>
          <c:y val="0.18953142446281987"/>
          <c:w val="0.30882526778230784"/>
          <c:h val="7.65712607493775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Dashboard.xlsx]Diagnostic Views!Gender Wise Dignostic Views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lumMod val="65000"/>
                    <a:lumOff val="35000"/>
                  </a:schemeClr>
                </a:solidFill>
              </a:rPr>
              <a:t>Diagnostic Marker by Gender</a:t>
            </a:r>
          </a:p>
          <a:p>
            <a:pPr>
              <a:defRPr/>
            </a:pPr>
            <a:r>
              <a:rPr lang="en-US" sz="1400" b="1" i="0" u="none" strike="noStrike" kern="1200" spc="0" baseline="0">
                <a:solidFill>
                  <a:schemeClr val="accent1"/>
                </a:solidFill>
              </a:rPr>
              <a:t>NS1</a:t>
            </a:r>
            <a:r>
              <a:rPr lang="en-US" sz="1400" b="1" i="0" u="none" strike="noStrike" kern="1200" spc="0" baseline="0">
                <a:solidFill>
                  <a:sysClr val="windowText" lastClr="000000">
                    <a:lumMod val="65000"/>
                    <a:lumOff val="35000"/>
                  </a:sysClr>
                </a:solidFill>
              </a:rPr>
              <a:t>, </a:t>
            </a:r>
            <a:r>
              <a:rPr lang="en-US" sz="1400" b="1" i="0" u="none" strike="noStrike" kern="1200" spc="0" baseline="0">
                <a:solidFill>
                  <a:srgbClr val="92D050"/>
                </a:solidFill>
              </a:rPr>
              <a:t>IgG</a:t>
            </a:r>
            <a:r>
              <a:rPr lang="en-US" sz="1400" b="1" i="0" u="none" strike="noStrike" kern="1200" spc="0" baseline="0">
                <a:solidFill>
                  <a:sysClr val="windowText" lastClr="000000">
                    <a:lumMod val="65000"/>
                    <a:lumOff val="35000"/>
                  </a:sysClr>
                </a:solidFill>
              </a:rPr>
              <a:t>, </a:t>
            </a:r>
            <a:r>
              <a:rPr lang="en-US" sz="1400" b="1" i="0" u="none" strike="noStrike" kern="1200" spc="0" baseline="0">
                <a:solidFill>
                  <a:srgbClr val="00B0F0"/>
                </a:solidFill>
              </a:rPr>
              <a:t>IgM</a:t>
            </a:r>
            <a:endParaRPr lang="en-US"/>
          </a:p>
        </c:rich>
      </c:tx>
      <c:layout>
        <c:manualLayout>
          <c:xMode val="edge"/>
          <c:yMode val="edge"/>
          <c:x val="0.21197082469530812"/>
          <c:y val="2.74237958210792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2249746319834E-2"/>
          <c:y val="0.23012991679011552"/>
          <c:w val="0.95345312411015404"/>
          <c:h val="0.55625533724803067"/>
        </c:manualLayout>
      </c:layout>
      <c:barChart>
        <c:barDir val="col"/>
        <c:grouping val="clustered"/>
        <c:varyColors val="0"/>
        <c:ser>
          <c:idx val="0"/>
          <c:order val="0"/>
          <c:tx>
            <c:strRef>
              <c:f>'Diagnostic Views'!$D$17</c:f>
              <c:strCache>
                <c:ptCount val="1"/>
                <c:pt idx="0">
                  <c:v>Total NS1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Views'!$D$18:$D$20</c:f>
              <c:numCache>
                <c:formatCode>General</c:formatCode>
                <c:ptCount val="2"/>
                <c:pt idx="0">
                  <c:v>4</c:v>
                </c:pt>
                <c:pt idx="1">
                  <c:v>8</c:v>
                </c:pt>
              </c:numCache>
            </c:numRef>
          </c:val>
          <c:extLst>
            <c:ext xmlns:c16="http://schemas.microsoft.com/office/drawing/2014/chart" uri="{C3380CC4-5D6E-409C-BE32-E72D297353CC}">
              <c16:uniqueId val="{00000000-A0F4-4DEE-9A26-A10CEAE4B079}"/>
            </c:ext>
          </c:extLst>
        </c:ser>
        <c:ser>
          <c:idx val="1"/>
          <c:order val="1"/>
          <c:tx>
            <c:strRef>
              <c:f>'Diagnostic Views'!$E$17</c:f>
              <c:strCache>
                <c:ptCount val="1"/>
                <c:pt idx="0">
                  <c:v>Total IgG</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Views'!$E$18:$E$20</c:f>
              <c:numCache>
                <c:formatCode>General</c:formatCode>
                <c:ptCount val="2"/>
                <c:pt idx="0">
                  <c:v>4</c:v>
                </c:pt>
                <c:pt idx="1">
                  <c:v>8</c:v>
                </c:pt>
              </c:numCache>
            </c:numRef>
          </c:val>
          <c:extLst>
            <c:ext xmlns:c16="http://schemas.microsoft.com/office/drawing/2014/chart" uri="{C3380CC4-5D6E-409C-BE32-E72D297353CC}">
              <c16:uniqueId val="{00000001-A0F4-4DEE-9A26-A10CEAE4B079}"/>
            </c:ext>
          </c:extLst>
        </c:ser>
        <c:ser>
          <c:idx val="2"/>
          <c:order val="2"/>
          <c:tx>
            <c:strRef>
              <c:f>'Diagnostic Views'!$F$17</c:f>
              <c:strCache>
                <c:ptCount val="1"/>
                <c:pt idx="0">
                  <c:v>Total IgM</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Views'!$F$18:$F$20</c:f>
              <c:numCache>
                <c:formatCode>General</c:formatCode>
                <c:ptCount val="2"/>
                <c:pt idx="0">
                  <c:v>5</c:v>
                </c:pt>
                <c:pt idx="1">
                  <c:v>6</c:v>
                </c:pt>
              </c:numCache>
            </c:numRef>
          </c:val>
          <c:extLst>
            <c:ext xmlns:c16="http://schemas.microsoft.com/office/drawing/2014/chart" uri="{C3380CC4-5D6E-409C-BE32-E72D297353CC}">
              <c16:uniqueId val="{00000002-A0F4-4DEE-9A26-A10CEAE4B079}"/>
            </c:ext>
          </c:extLst>
        </c:ser>
        <c:dLbls>
          <c:dLblPos val="inEnd"/>
          <c:showLegendKey val="0"/>
          <c:showVal val="1"/>
          <c:showCatName val="0"/>
          <c:showSerName val="0"/>
          <c:showPercent val="0"/>
          <c:showBubbleSize val="0"/>
        </c:dLbls>
        <c:gapWidth val="188"/>
        <c:overlap val="-27"/>
        <c:axId val="1402350096"/>
        <c:axId val="1402349136"/>
      </c:barChart>
      <c:catAx>
        <c:axId val="1402350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1200" b="1" i="0" u="none" strike="noStrike" kern="1200" baseline="0">
                <a:solidFill>
                  <a:schemeClr val="tx1">
                    <a:lumMod val="65000"/>
                    <a:lumOff val="35000"/>
                  </a:schemeClr>
                </a:solidFill>
                <a:latin typeface="+mn-lt"/>
                <a:ea typeface="+mn-ea"/>
                <a:cs typeface="+mn-cs"/>
              </a:defRPr>
            </a:pPr>
            <a:endParaRPr lang="en-US"/>
          </a:p>
        </c:txPr>
        <c:crossAx val="1402349136"/>
        <c:crosses val="autoZero"/>
        <c:auto val="1"/>
        <c:lblAlgn val="ctr"/>
        <c:lblOffset val="100"/>
        <c:noMultiLvlLbl val="0"/>
      </c:catAx>
      <c:valAx>
        <c:axId val="1402349136"/>
        <c:scaling>
          <c:orientation val="minMax"/>
        </c:scaling>
        <c:delete val="1"/>
        <c:axPos val="l"/>
        <c:numFmt formatCode="General" sourceLinked="1"/>
        <c:majorTickMark val="out"/>
        <c:minorTickMark val="none"/>
        <c:tickLblPos val="nextTo"/>
        <c:crossAx val="140235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Dashboard.xlsx]Age grouping vs Disease!Gender</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 </a:t>
            </a:r>
            <a:r>
              <a:rPr lang="en-US" b="1" baseline="0">
                <a:solidFill>
                  <a:srgbClr val="00B0F0"/>
                </a:solidFill>
              </a:rPr>
              <a:t>Male</a:t>
            </a:r>
            <a:r>
              <a:rPr lang="en-US" baseline="0"/>
              <a:t> </a:t>
            </a:r>
            <a:r>
              <a:rPr lang="en-US" b="1" baseline="0"/>
              <a:t>&amp;</a:t>
            </a:r>
            <a:r>
              <a:rPr lang="en-US" baseline="0"/>
              <a:t> </a:t>
            </a:r>
            <a:r>
              <a:rPr lang="en-US" b="1" baseline="0">
                <a:solidFill>
                  <a:schemeClr val="accent5">
                    <a:lumMod val="75000"/>
                  </a:schemeClr>
                </a:solidFill>
              </a:rPr>
              <a:t>Female</a:t>
            </a:r>
            <a:endParaRPr lang="en-US" b="1">
              <a:solidFill>
                <a:schemeClr val="accent5">
                  <a:lumMod val="75000"/>
                </a:schemeClr>
              </a:solidFill>
            </a:endParaRPr>
          </a:p>
        </c:rich>
      </c:tx>
      <c:layout>
        <c:manualLayout>
          <c:xMode val="edge"/>
          <c:yMode val="edge"/>
          <c:x val="0.18825720938563498"/>
          <c:y val="1.37489989272675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c:spPr>
      </c:pivotFmt>
      <c:pivotFmt>
        <c:idx val="2"/>
        <c:spPr>
          <a:solidFill>
            <a:srgbClr val="7030A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7030A0"/>
          </a:solidFill>
          <a:ln w="19050">
            <a:solidFill>
              <a:schemeClr val="lt1"/>
            </a:solidFill>
          </a:ln>
          <a:effectLst/>
        </c:spPr>
      </c:pivotFmt>
      <c:pivotFmt>
        <c:idx val="5"/>
        <c:spPr>
          <a:solidFill>
            <a:schemeClr val="accent1">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0.14705321051560186"/>
          <c:y val="0.13688813472219899"/>
          <c:w val="0.73406919766190715"/>
          <c:h val="0.86241468024688683"/>
        </c:manualLayout>
      </c:layout>
      <c:doughnutChart>
        <c:varyColors val="1"/>
        <c:ser>
          <c:idx val="0"/>
          <c:order val="0"/>
          <c:tx>
            <c:strRef>
              <c:f>'Age grouping vs Disease'!$C$24</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2213-46AD-9E4A-3D071E4CF7C8}"/>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2213-46AD-9E4A-3D071E4CF7C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grouping vs Disease'!$B$25:$B$27</c:f>
              <c:strCache>
                <c:ptCount val="2"/>
                <c:pt idx="0">
                  <c:v>Female</c:v>
                </c:pt>
                <c:pt idx="1">
                  <c:v>Male</c:v>
                </c:pt>
              </c:strCache>
            </c:strRef>
          </c:cat>
          <c:val>
            <c:numRef>
              <c:f>'Age grouping vs Disease'!$C$25:$C$27</c:f>
              <c:numCache>
                <c:formatCode>General</c:formatCode>
                <c:ptCount val="2"/>
                <c:pt idx="0">
                  <c:v>14</c:v>
                </c:pt>
                <c:pt idx="1">
                  <c:v>16</c:v>
                </c:pt>
              </c:numCache>
            </c:numRef>
          </c:val>
          <c:extLst>
            <c:ext xmlns:c16="http://schemas.microsoft.com/office/drawing/2014/chart" uri="{C3380CC4-5D6E-409C-BE32-E72D297353CC}">
              <c16:uniqueId val="{00000004-2213-46AD-9E4A-3D071E4CF7C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Dashboard.xlsx]Diagnostic Views!Count Of dignostic markers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Diagnostic Markers</a:t>
            </a:r>
          </a:p>
        </c:rich>
      </c:tx>
      <c:layout>
        <c:manualLayout>
          <c:xMode val="edge"/>
          <c:yMode val="edge"/>
          <c:x val="0.27773632790508962"/>
          <c:y val="5.12539773106954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B0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7.8773779969530389E-3"/>
          <c:y val="0.27263121574427696"/>
          <c:w val="0.99028677650984454"/>
          <c:h val="0.71158495096843122"/>
        </c:manualLayout>
      </c:layout>
      <c:barChart>
        <c:barDir val="bar"/>
        <c:grouping val="percentStacked"/>
        <c:varyColors val="0"/>
        <c:ser>
          <c:idx val="0"/>
          <c:order val="0"/>
          <c:tx>
            <c:strRef>
              <c:f>'Diagnostic Views'!$A$3</c:f>
              <c:strCache>
                <c:ptCount val="1"/>
                <c:pt idx="0">
                  <c:v>Total NS1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Views'!$A$4</c:f>
              <c:numCache>
                <c:formatCode>General</c:formatCode>
                <c:ptCount val="1"/>
                <c:pt idx="0">
                  <c:v>12</c:v>
                </c:pt>
              </c:numCache>
            </c:numRef>
          </c:val>
          <c:extLst>
            <c:ext xmlns:c16="http://schemas.microsoft.com/office/drawing/2014/chart" uri="{C3380CC4-5D6E-409C-BE32-E72D297353CC}">
              <c16:uniqueId val="{00000000-CD41-434D-9F53-4420CE2719E3}"/>
            </c:ext>
          </c:extLst>
        </c:ser>
        <c:ser>
          <c:idx val="1"/>
          <c:order val="1"/>
          <c:tx>
            <c:strRef>
              <c:f>'Diagnostic Views'!$B$3</c:f>
              <c:strCache>
                <c:ptCount val="1"/>
                <c:pt idx="0">
                  <c:v>Total IgG</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Views'!$B$4</c:f>
              <c:numCache>
                <c:formatCode>General</c:formatCode>
                <c:ptCount val="1"/>
                <c:pt idx="0">
                  <c:v>12</c:v>
                </c:pt>
              </c:numCache>
            </c:numRef>
          </c:val>
          <c:extLst>
            <c:ext xmlns:c16="http://schemas.microsoft.com/office/drawing/2014/chart" uri="{C3380CC4-5D6E-409C-BE32-E72D297353CC}">
              <c16:uniqueId val="{00000001-CD41-434D-9F53-4420CE2719E3}"/>
            </c:ext>
          </c:extLst>
        </c:ser>
        <c:ser>
          <c:idx val="2"/>
          <c:order val="2"/>
          <c:tx>
            <c:strRef>
              <c:f>'Diagnostic Views'!$C$3</c:f>
              <c:strCache>
                <c:ptCount val="1"/>
                <c:pt idx="0">
                  <c:v>Total IgM</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Views'!$C$4</c:f>
              <c:numCache>
                <c:formatCode>General</c:formatCode>
                <c:ptCount val="1"/>
                <c:pt idx="0">
                  <c:v>11</c:v>
                </c:pt>
              </c:numCache>
            </c:numRef>
          </c:val>
          <c:extLst>
            <c:ext xmlns:c16="http://schemas.microsoft.com/office/drawing/2014/chart" uri="{C3380CC4-5D6E-409C-BE32-E72D297353CC}">
              <c16:uniqueId val="{00000002-CD41-434D-9F53-4420CE2719E3}"/>
            </c:ext>
          </c:extLst>
        </c:ser>
        <c:dLbls>
          <c:dLblPos val="ctr"/>
          <c:showLegendKey val="0"/>
          <c:showVal val="1"/>
          <c:showCatName val="0"/>
          <c:showSerName val="0"/>
          <c:showPercent val="0"/>
          <c:showBubbleSize val="0"/>
        </c:dLbls>
        <c:gapWidth val="41"/>
        <c:overlap val="100"/>
        <c:axId val="1468416672"/>
        <c:axId val="1468417152"/>
      </c:barChart>
      <c:catAx>
        <c:axId val="1468416672"/>
        <c:scaling>
          <c:orientation val="minMax"/>
        </c:scaling>
        <c:delete val="1"/>
        <c:axPos val="l"/>
        <c:numFmt formatCode="General" sourceLinked="1"/>
        <c:majorTickMark val="none"/>
        <c:minorTickMark val="none"/>
        <c:tickLblPos val="nextTo"/>
        <c:crossAx val="1468417152"/>
        <c:crosses val="autoZero"/>
        <c:auto val="1"/>
        <c:lblAlgn val="ctr"/>
        <c:lblOffset val="100"/>
        <c:noMultiLvlLbl val="0"/>
      </c:catAx>
      <c:valAx>
        <c:axId val="1468417152"/>
        <c:scaling>
          <c:orientation val="minMax"/>
        </c:scaling>
        <c:delete val="1"/>
        <c:axPos val="b"/>
        <c:numFmt formatCode="0%" sourceLinked="1"/>
        <c:majorTickMark val="none"/>
        <c:minorTickMark val="none"/>
        <c:tickLblPos val="nextTo"/>
        <c:crossAx val="146841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Dashboard.xlsx]Pivot for KPI!Top ten Area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lumMod val="75000"/>
                  </a:schemeClr>
                </a:solidFill>
              </a:rPr>
              <a:t>Top 10 Affected</a:t>
            </a:r>
            <a:r>
              <a:rPr lang="en-US" sz="1800" b="1" baseline="0">
                <a:solidFill>
                  <a:schemeClr val="accent2">
                    <a:lumMod val="75000"/>
                  </a:schemeClr>
                </a:solidFill>
              </a:rPr>
              <a:t> Areas</a:t>
            </a:r>
            <a:r>
              <a:rPr lang="en-US" sz="1800" b="1">
                <a:solidFill>
                  <a:schemeClr val="accent2">
                    <a:lumMod val="75000"/>
                  </a:scheme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4312574451278E-2"/>
          <c:y val="0.21554165750074405"/>
          <c:w val="0.93003901081532536"/>
          <c:h val="0.48210865823833127"/>
        </c:manualLayout>
      </c:layout>
      <c:barChart>
        <c:barDir val="col"/>
        <c:grouping val="clustered"/>
        <c:varyColors val="0"/>
        <c:ser>
          <c:idx val="0"/>
          <c:order val="0"/>
          <c:tx>
            <c:strRef>
              <c:f>'Pivot for KPI'!$C$14</c:f>
              <c:strCache>
                <c:ptCount val="1"/>
                <c:pt idx="0">
                  <c:v>Total</c:v>
                </c:pt>
              </c:strCache>
            </c:strRef>
          </c:tx>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for KPI'!$B$15:$B$25</c:f>
              <c:strCache>
                <c:ptCount val="10"/>
                <c:pt idx="0">
                  <c:v>Jatrabari</c:v>
                </c:pt>
                <c:pt idx="1">
                  <c:v>Demra</c:v>
                </c:pt>
                <c:pt idx="2">
                  <c:v>Tejgaon</c:v>
                </c:pt>
                <c:pt idx="3">
                  <c:v>Bangshal</c:v>
                </c:pt>
                <c:pt idx="4">
                  <c:v>Mohammadpur</c:v>
                </c:pt>
                <c:pt idx="5">
                  <c:v>Mirpur</c:v>
                </c:pt>
                <c:pt idx="6">
                  <c:v>Kadamtali</c:v>
                </c:pt>
                <c:pt idx="7">
                  <c:v>Badda</c:v>
                </c:pt>
                <c:pt idx="8">
                  <c:v>Kafrul</c:v>
                </c:pt>
                <c:pt idx="9">
                  <c:v>Dhanmondi</c:v>
                </c:pt>
              </c:strCache>
            </c:strRef>
          </c:cat>
          <c:val>
            <c:numRef>
              <c:f>'Pivot for KPI'!$C$15:$C$25</c:f>
              <c:numCache>
                <c:formatCode>0</c:formatCode>
                <c:ptCount val="10"/>
                <c:pt idx="0">
                  <c:v>31</c:v>
                </c:pt>
                <c:pt idx="1">
                  <c:v>26</c:v>
                </c:pt>
                <c:pt idx="2">
                  <c:v>24</c:v>
                </c:pt>
                <c:pt idx="3">
                  <c:v>24</c:v>
                </c:pt>
                <c:pt idx="4">
                  <c:v>20</c:v>
                </c:pt>
                <c:pt idx="5">
                  <c:v>19</c:v>
                </c:pt>
                <c:pt idx="6">
                  <c:v>19</c:v>
                </c:pt>
                <c:pt idx="7">
                  <c:v>17</c:v>
                </c:pt>
                <c:pt idx="8">
                  <c:v>17</c:v>
                </c:pt>
                <c:pt idx="9">
                  <c:v>17</c:v>
                </c:pt>
              </c:numCache>
            </c:numRef>
          </c:val>
          <c:extLst>
            <c:ext xmlns:c16="http://schemas.microsoft.com/office/drawing/2014/chart" uri="{C3380CC4-5D6E-409C-BE32-E72D297353CC}">
              <c16:uniqueId val="{00000000-A802-4543-AB52-5A041F5B17BD}"/>
            </c:ext>
          </c:extLst>
        </c:ser>
        <c:dLbls>
          <c:showLegendKey val="0"/>
          <c:showVal val="0"/>
          <c:showCatName val="0"/>
          <c:showSerName val="0"/>
          <c:showPercent val="0"/>
          <c:showBubbleSize val="0"/>
        </c:dLbls>
        <c:gapWidth val="104"/>
        <c:overlap val="-27"/>
        <c:axId val="1279967664"/>
        <c:axId val="1279962864"/>
      </c:barChart>
      <c:catAx>
        <c:axId val="127996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9962864"/>
        <c:crosses val="autoZero"/>
        <c:auto val="1"/>
        <c:lblAlgn val="ctr"/>
        <c:lblOffset val="100"/>
        <c:noMultiLvlLbl val="0"/>
      </c:catAx>
      <c:valAx>
        <c:axId val="1279962864"/>
        <c:scaling>
          <c:orientation val="minMax"/>
        </c:scaling>
        <c:delete val="1"/>
        <c:axPos val="l"/>
        <c:numFmt formatCode="0" sourceLinked="1"/>
        <c:majorTickMark val="none"/>
        <c:minorTickMark val="none"/>
        <c:tickLblPos val="nextTo"/>
        <c:crossAx val="127996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Dashboard.xlsx]Age grouping vs Disease!Disease cases by Age Group </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Percentage(%)</a:t>
            </a:r>
            <a:r>
              <a:rPr lang="en-US" b="1" baseline="0"/>
              <a:t> of </a:t>
            </a:r>
            <a:r>
              <a:rPr lang="en-US" sz="1400" b="1" i="0" u="none" strike="noStrike" baseline="0">
                <a:solidFill>
                  <a:srgbClr val="002060"/>
                </a:solidFill>
              </a:rPr>
              <a:t>Affected</a:t>
            </a:r>
            <a:r>
              <a:rPr lang="en-US" sz="1400" b="1" i="0" u="none" strike="noStrike" baseline="0">
                <a:solidFill>
                  <a:srgbClr val="E74E35"/>
                </a:solidFill>
              </a:rPr>
              <a:t> </a:t>
            </a:r>
            <a:r>
              <a:rPr lang="en-US" sz="1400" b="1" i="0" u="none" strike="noStrike" baseline="0"/>
              <a:t>vs.</a:t>
            </a:r>
            <a:r>
              <a:rPr lang="en-US" sz="1400" b="0" i="0" u="none" strike="noStrike" baseline="0"/>
              <a:t> </a:t>
            </a:r>
            <a:r>
              <a:rPr lang="en-US" sz="1400" b="1" i="0" u="none" strike="noStrike" baseline="0">
                <a:solidFill>
                  <a:srgbClr val="00B050"/>
                </a:solidFill>
              </a:rPr>
              <a:t>Unaffected</a:t>
            </a:r>
            <a:r>
              <a:rPr lang="en-US" sz="1400" b="0" i="0" u="none" strike="noStrike" baseline="0"/>
              <a:t> </a:t>
            </a:r>
            <a:r>
              <a:rPr lang="en-US" sz="1400" b="1" i="0" u="none" strike="noStrike" baseline="0"/>
              <a:t>Across </a:t>
            </a:r>
            <a:r>
              <a:rPr lang="en-US" sz="1400" b="1" i="0" u="none" strike="noStrike" baseline="0">
                <a:solidFill>
                  <a:sysClr val="windowText" lastClr="000000"/>
                </a:solidFill>
              </a:rPr>
              <a:t>Age Groups</a:t>
            </a:r>
            <a:endParaRPr lang="en-US" b="1">
              <a:solidFill>
                <a:sysClr val="windowText" lastClr="000000"/>
              </a:solidFill>
            </a:endParaRPr>
          </a:p>
        </c:rich>
      </c:tx>
      <c:layout>
        <c:manualLayout>
          <c:xMode val="edge"/>
          <c:yMode val="edge"/>
          <c:x val="0.14589965775475985"/>
          <c:y val="2.409459157398590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5000"/>
                  <a:lumOff val="95000"/>
                </a:schemeClr>
              </a:gs>
              <a:gs pos="0">
                <a:schemeClr val="accent3">
                  <a:lumMod val="45000"/>
                  <a:lumOff val="55000"/>
                </a:schemeClr>
              </a:gs>
              <a:gs pos="83000">
                <a:schemeClr val="accent3">
                  <a:lumMod val="45000"/>
                  <a:lumOff val="55000"/>
                </a:schemeClr>
              </a:gs>
              <a:gs pos="100000">
                <a:schemeClr val="accent3">
                  <a:lumMod val="30000"/>
                  <a:lumOff val="7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386806153457285E-2"/>
          <c:y val="0.18725719222333362"/>
          <c:w val="0.98598186185181458"/>
          <c:h val="0.69105012374652686"/>
        </c:manualLayout>
      </c:layout>
      <c:barChart>
        <c:barDir val="col"/>
        <c:grouping val="stacked"/>
        <c:varyColors val="0"/>
        <c:ser>
          <c:idx val="0"/>
          <c:order val="0"/>
          <c:tx>
            <c:strRef>
              <c:f>'Age grouping vs Disease'!$B$3:$B$4</c:f>
              <c:strCache>
                <c:ptCount val="1"/>
                <c:pt idx="0">
                  <c:v>Affected</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grouping vs Disease'!$A$5:$A$10</c:f>
              <c:strCache>
                <c:ptCount val="5"/>
                <c:pt idx="0">
                  <c:v>Middle-aged Adult(36-60)</c:v>
                </c:pt>
                <c:pt idx="1">
                  <c:v>Young Adult(19-35)</c:v>
                </c:pt>
                <c:pt idx="2">
                  <c:v>Adolescent(13-18)</c:v>
                </c:pt>
                <c:pt idx="3">
                  <c:v>Older Adult(&gt;60)</c:v>
                </c:pt>
                <c:pt idx="4">
                  <c:v>Child(&lt;13)</c:v>
                </c:pt>
              </c:strCache>
            </c:strRef>
          </c:cat>
          <c:val>
            <c:numRef>
              <c:f>'Age grouping vs Disease'!$B$5:$B$10</c:f>
              <c:numCache>
                <c:formatCode>0%</c:formatCode>
                <c:ptCount val="5"/>
                <c:pt idx="0">
                  <c:v>0.2</c:v>
                </c:pt>
                <c:pt idx="1">
                  <c:v>6.6666666666666666E-2</c:v>
                </c:pt>
                <c:pt idx="2">
                  <c:v>3.3333333333333333E-2</c:v>
                </c:pt>
                <c:pt idx="3">
                  <c:v>0.1</c:v>
                </c:pt>
                <c:pt idx="4">
                  <c:v>0</c:v>
                </c:pt>
              </c:numCache>
            </c:numRef>
          </c:val>
          <c:extLst>
            <c:ext xmlns:c16="http://schemas.microsoft.com/office/drawing/2014/chart" uri="{C3380CC4-5D6E-409C-BE32-E72D297353CC}">
              <c16:uniqueId val="{0000000C-5E5C-4C1E-BE48-7ACDC0EF68DB}"/>
            </c:ext>
          </c:extLst>
        </c:ser>
        <c:ser>
          <c:idx val="1"/>
          <c:order val="1"/>
          <c:tx>
            <c:strRef>
              <c:f>'Age grouping vs Disease'!$C$3:$C$4</c:f>
              <c:strCache>
                <c:ptCount val="1"/>
                <c:pt idx="0">
                  <c:v>Not Affected</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grouping vs Disease'!$A$5:$A$10</c:f>
              <c:strCache>
                <c:ptCount val="5"/>
                <c:pt idx="0">
                  <c:v>Middle-aged Adult(36-60)</c:v>
                </c:pt>
                <c:pt idx="1">
                  <c:v>Young Adult(19-35)</c:v>
                </c:pt>
                <c:pt idx="2">
                  <c:v>Adolescent(13-18)</c:v>
                </c:pt>
                <c:pt idx="3">
                  <c:v>Older Adult(&gt;60)</c:v>
                </c:pt>
                <c:pt idx="4">
                  <c:v>Child(&lt;13)</c:v>
                </c:pt>
              </c:strCache>
            </c:strRef>
          </c:cat>
          <c:val>
            <c:numRef>
              <c:f>'Age grouping vs Disease'!$C$5:$C$10</c:f>
              <c:numCache>
                <c:formatCode>0%</c:formatCode>
                <c:ptCount val="5"/>
                <c:pt idx="0">
                  <c:v>0.3</c:v>
                </c:pt>
                <c:pt idx="1">
                  <c:v>0.13333333333333333</c:v>
                </c:pt>
                <c:pt idx="2">
                  <c:v>6.6666666666666666E-2</c:v>
                </c:pt>
                <c:pt idx="3">
                  <c:v>0</c:v>
                </c:pt>
                <c:pt idx="4">
                  <c:v>0.1</c:v>
                </c:pt>
              </c:numCache>
            </c:numRef>
          </c:val>
          <c:extLst>
            <c:ext xmlns:c16="http://schemas.microsoft.com/office/drawing/2014/chart" uri="{C3380CC4-5D6E-409C-BE32-E72D297353CC}">
              <c16:uniqueId val="{00000001-C52C-4EB1-A80C-5317BA8C8485}"/>
            </c:ext>
          </c:extLst>
        </c:ser>
        <c:dLbls>
          <c:showLegendKey val="0"/>
          <c:showVal val="0"/>
          <c:showCatName val="0"/>
          <c:showSerName val="0"/>
          <c:showPercent val="0"/>
          <c:showBubbleSize val="0"/>
        </c:dLbls>
        <c:gapWidth val="97"/>
        <c:overlap val="100"/>
        <c:axId val="1475295792"/>
        <c:axId val="1475280432"/>
      </c:barChart>
      <c:catAx>
        <c:axId val="147529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475280432"/>
        <c:crosses val="autoZero"/>
        <c:auto val="1"/>
        <c:lblAlgn val="ctr"/>
        <c:lblOffset val="100"/>
        <c:noMultiLvlLbl val="0"/>
      </c:catAx>
      <c:valAx>
        <c:axId val="1475280432"/>
        <c:scaling>
          <c:orientation val="minMax"/>
        </c:scaling>
        <c:delete val="1"/>
        <c:axPos val="l"/>
        <c:numFmt formatCode="0%" sourceLinked="1"/>
        <c:majorTickMark val="none"/>
        <c:minorTickMark val="none"/>
        <c:tickLblPos val="nextTo"/>
        <c:crossAx val="14752957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Dashboard.xlsx]Age grouping vs Disease!Gender</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 </a:t>
            </a:r>
            <a:r>
              <a:rPr lang="en-US" b="1" baseline="0">
                <a:solidFill>
                  <a:srgbClr val="00B0F0"/>
                </a:solidFill>
              </a:rPr>
              <a:t>Male</a:t>
            </a:r>
            <a:r>
              <a:rPr lang="en-US" baseline="0"/>
              <a:t> </a:t>
            </a:r>
            <a:r>
              <a:rPr lang="en-US" b="1" baseline="0"/>
              <a:t>&amp;</a:t>
            </a:r>
            <a:r>
              <a:rPr lang="en-US" baseline="0"/>
              <a:t> </a:t>
            </a:r>
            <a:r>
              <a:rPr lang="en-US" b="1" baseline="0">
                <a:solidFill>
                  <a:schemeClr val="accent5">
                    <a:lumMod val="75000"/>
                  </a:schemeClr>
                </a:solidFill>
              </a:rPr>
              <a:t>Female</a:t>
            </a:r>
            <a:endParaRPr lang="en-US" b="1">
              <a:solidFill>
                <a:schemeClr val="accent5">
                  <a:lumMod val="75000"/>
                </a:schemeClr>
              </a:solidFill>
            </a:endParaRPr>
          </a:p>
        </c:rich>
      </c:tx>
      <c:layout>
        <c:manualLayout>
          <c:xMode val="edge"/>
          <c:yMode val="edge"/>
          <c:x val="0.22263076647182559"/>
          <c:y val="2.25989022271840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c:spPr>
      </c:pivotFmt>
      <c:pivotFmt>
        <c:idx val="2"/>
        <c:spPr>
          <a:solidFill>
            <a:srgbClr val="7030A0"/>
          </a:solidFill>
          <a:ln w="19050">
            <a:solidFill>
              <a:schemeClr val="lt1"/>
            </a:solidFill>
          </a:ln>
          <a:effectLst/>
        </c:spPr>
      </c:pivotFmt>
    </c:pivotFmts>
    <c:plotArea>
      <c:layout>
        <c:manualLayout>
          <c:layoutTarget val="inner"/>
          <c:xMode val="edge"/>
          <c:yMode val="edge"/>
          <c:x val="0.14705321051560186"/>
          <c:y val="0.13688813472219899"/>
          <c:w val="0.73406919766190715"/>
          <c:h val="0.86241468024688683"/>
        </c:manualLayout>
      </c:layout>
      <c:doughnutChart>
        <c:varyColors val="1"/>
        <c:ser>
          <c:idx val="0"/>
          <c:order val="0"/>
          <c:tx>
            <c:strRef>
              <c:f>'Age grouping vs Disease'!$C$24</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3-E9D3-4FA0-80E9-A2F7FC3A6548}"/>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2-E9D3-4FA0-80E9-A2F7FC3A654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grouping vs Disease'!$B$25:$B$27</c:f>
              <c:strCache>
                <c:ptCount val="2"/>
                <c:pt idx="0">
                  <c:v>Female</c:v>
                </c:pt>
                <c:pt idx="1">
                  <c:v>Male</c:v>
                </c:pt>
              </c:strCache>
            </c:strRef>
          </c:cat>
          <c:val>
            <c:numRef>
              <c:f>'Age grouping vs Disease'!$C$25:$C$27</c:f>
              <c:numCache>
                <c:formatCode>General</c:formatCode>
                <c:ptCount val="2"/>
                <c:pt idx="0">
                  <c:v>14</c:v>
                </c:pt>
                <c:pt idx="1">
                  <c:v>16</c:v>
                </c:pt>
              </c:numCache>
            </c:numRef>
          </c:val>
          <c:extLst>
            <c:ext xmlns:c16="http://schemas.microsoft.com/office/drawing/2014/chart" uri="{C3380CC4-5D6E-409C-BE32-E72D297353CC}">
              <c16:uniqueId val="{00000000-E9D3-4FA0-80E9-A2F7FC3A654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Dashboard.xlsx]House Types vs cases!Area Type By cases</c:name>
    <c:fmtId val="0"/>
  </c:pivotSource>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en-US"/>
              <a:t>Dengue Cases by Area</a:t>
            </a:r>
            <a:r>
              <a:rPr lang="en-US" baseline="0"/>
              <a:t> Type</a:t>
            </a:r>
          </a:p>
          <a:p>
            <a:pPr>
              <a:defRPr/>
            </a:pPr>
            <a:r>
              <a:rPr lang="en-US" baseline="0"/>
              <a:t>(</a:t>
            </a:r>
            <a:r>
              <a:rPr lang="en-US" b="1" baseline="0">
                <a:solidFill>
                  <a:srgbClr val="92D050"/>
                </a:solidFill>
              </a:rPr>
              <a:t>Developed</a:t>
            </a:r>
            <a:r>
              <a:rPr lang="en-US" baseline="0"/>
              <a:t> &amp; </a:t>
            </a:r>
            <a:r>
              <a:rPr lang="en-US" b="1" baseline="0">
                <a:solidFill>
                  <a:srgbClr val="00B0F0"/>
                </a:solidFill>
              </a:rPr>
              <a:t>Undeveloped</a:t>
            </a:r>
            <a:r>
              <a:rPr lang="en-US" baseline="0"/>
              <a:t>)</a:t>
            </a:r>
            <a:r>
              <a:rPr lang="en-US"/>
              <a:t> </a:t>
            </a:r>
          </a:p>
        </c:rich>
      </c:tx>
      <c:layout>
        <c:manualLayout>
          <c:xMode val="edge"/>
          <c:yMode val="edge"/>
          <c:x val="0.13141961281685427"/>
          <c:y val="2.4078401520741147E-2"/>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00B0F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13399116249707"/>
          <c:y val="0.27357140942489044"/>
          <c:w val="0.46841556197880319"/>
          <c:h val="0.69985475578023337"/>
        </c:manualLayout>
      </c:layout>
      <c:doughnutChart>
        <c:varyColors val="1"/>
        <c:ser>
          <c:idx val="0"/>
          <c:order val="0"/>
          <c:tx>
            <c:strRef>
              <c:f>'House Types vs cases'!$C$15</c:f>
              <c:strCache>
                <c:ptCount val="1"/>
                <c:pt idx="0">
                  <c:v>Total</c:v>
                </c:pt>
              </c:strCache>
            </c:strRef>
          </c:tx>
          <c:explosion val="6"/>
          <c:dPt>
            <c:idx val="0"/>
            <c:bubble3D val="0"/>
            <c:spPr>
              <a:solidFill>
                <a:srgbClr val="92D050"/>
              </a:solidFill>
              <a:ln w="19050">
                <a:solidFill>
                  <a:schemeClr val="lt1"/>
                </a:solidFill>
              </a:ln>
              <a:effectLst/>
            </c:spPr>
            <c:extLst>
              <c:ext xmlns:c16="http://schemas.microsoft.com/office/drawing/2014/chart" uri="{C3380CC4-5D6E-409C-BE32-E72D297353CC}">
                <c16:uniqueId val="{00000003-0F62-41BC-8786-D243B51C86AB}"/>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2-0F62-41BC-8786-D243B51C86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'House Types vs cases'!$B$16:$B$18</c:f>
              <c:strCache>
                <c:ptCount val="2"/>
                <c:pt idx="0">
                  <c:v>Developed</c:v>
                </c:pt>
                <c:pt idx="1">
                  <c:v>Undeveloped</c:v>
                </c:pt>
              </c:strCache>
            </c:strRef>
          </c:cat>
          <c:val>
            <c:numRef>
              <c:f>'House Types vs cases'!$C$16:$C$18</c:f>
              <c:numCache>
                <c:formatCode>General</c:formatCode>
                <c:ptCount val="2"/>
                <c:pt idx="0">
                  <c:v>8</c:v>
                </c:pt>
                <c:pt idx="1">
                  <c:v>4</c:v>
                </c:pt>
              </c:numCache>
            </c:numRef>
          </c:val>
          <c:extLst>
            <c:ext xmlns:c16="http://schemas.microsoft.com/office/drawing/2014/chart" uri="{C3380CC4-5D6E-409C-BE32-E72D297353CC}">
              <c16:uniqueId val="{00000000-0F62-41BC-8786-D243B51C86AB}"/>
            </c:ext>
          </c:extLst>
        </c:ser>
        <c:dLbls>
          <c:showLegendKey val="0"/>
          <c:showVal val="1"/>
          <c:showCatName val="0"/>
          <c:showSerName val="0"/>
          <c:showPercent val="0"/>
          <c:showBubbleSize val="0"/>
          <c:showLeaderLines val="1"/>
        </c:dLbls>
        <c:firstSliceAng val="0"/>
        <c:holeSize val="5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Dashboard.xlsx]House Types vs cases!House Type</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House Type vs.</a:t>
            </a:r>
            <a:r>
              <a:rPr lang="en-US" b="1" baseline="0"/>
              <a:t> Cases</a:t>
            </a:r>
            <a:endParaRPr lang="en-US" b="1"/>
          </a:p>
        </c:rich>
      </c:tx>
      <c:layout>
        <c:manualLayout>
          <c:xMode val="edge"/>
          <c:yMode val="edge"/>
          <c:x val="0.25954510560831706"/>
          <c:y val="1.882352476182806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4253357606066"/>
          <c:y val="0.27587400906488518"/>
          <c:w val="0.77599748499404153"/>
          <c:h val="0.6916470866549177"/>
        </c:manualLayout>
      </c:layout>
      <c:barChart>
        <c:barDir val="bar"/>
        <c:grouping val="clustered"/>
        <c:varyColors val="0"/>
        <c:ser>
          <c:idx val="0"/>
          <c:order val="0"/>
          <c:tx>
            <c:strRef>
              <c:f>'House Types vs cases'!$B$3</c:f>
              <c:strCache>
                <c:ptCount val="1"/>
                <c:pt idx="0">
                  <c:v>Dengue cases</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 Types vs cases'!$A$4:$A$7</c:f>
              <c:strCache>
                <c:ptCount val="3"/>
                <c:pt idx="0">
                  <c:v>Other</c:v>
                </c:pt>
                <c:pt idx="1">
                  <c:v>Tinshed</c:v>
                </c:pt>
                <c:pt idx="2">
                  <c:v>Building</c:v>
                </c:pt>
              </c:strCache>
            </c:strRef>
          </c:cat>
          <c:val>
            <c:numRef>
              <c:f>'House Types vs cases'!$B$4:$B$7</c:f>
              <c:numCache>
                <c:formatCode>General</c:formatCode>
                <c:ptCount val="3"/>
                <c:pt idx="0">
                  <c:v>3</c:v>
                </c:pt>
                <c:pt idx="1">
                  <c:v>4</c:v>
                </c:pt>
                <c:pt idx="2">
                  <c:v>5</c:v>
                </c:pt>
              </c:numCache>
            </c:numRef>
          </c:val>
          <c:extLst>
            <c:ext xmlns:c16="http://schemas.microsoft.com/office/drawing/2014/chart" uri="{C3380CC4-5D6E-409C-BE32-E72D297353CC}">
              <c16:uniqueId val="{00000000-7DC2-4A52-9AFF-E23B7E1CA37F}"/>
            </c:ext>
          </c:extLst>
        </c:ser>
        <c:ser>
          <c:idx val="1"/>
          <c:order val="1"/>
          <c:tx>
            <c:strRef>
              <c:f>'House Types vs cases'!$C$3</c:f>
              <c:strCache>
                <c:ptCount val="1"/>
                <c:pt idx="0">
                  <c:v>Total</c:v>
                </c:pt>
              </c:strCache>
            </c:strRef>
          </c:tx>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 Types vs cases'!$A$4:$A$7</c:f>
              <c:strCache>
                <c:ptCount val="3"/>
                <c:pt idx="0">
                  <c:v>Other</c:v>
                </c:pt>
                <c:pt idx="1">
                  <c:v>Tinshed</c:v>
                </c:pt>
                <c:pt idx="2">
                  <c:v>Building</c:v>
                </c:pt>
              </c:strCache>
            </c:strRef>
          </c:cat>
          <c:val>
            <c:numRef>
              <c:f>'House Types vs cases'!$C$4:$C$7</c:f>
              <c:numCache>
                <c:formatCode>General</c:formatCode>
                <c:ptCount val="3"/>
                <c:pt idx="0">
                  <c:v>10</c:v>
                </c:pt>
                <c:pt idx="1">
                  <c:v>11</c:v>
                </c:pt>
                <c:pt idx="2">
                  <c:v>9</c:v>
                </c:pt>
              </c:numCache>
            </c:numRef>
          </c:val>
          <c:extLst>
            <c:ext xmlns:c16="http://schemas.microsoft.com/office/drawing/2014/chart" uri="{C3380CC4-5D6E-409C-BE32-E72D297353CC}">
              <c16:uniqueId val="{00000001-7DC2-4A52-9AFF-E23B7E1CA37F}"/>
            </c:ext>
          </c:extLst>
        </c:ser>
        <c:dLbls>
          <c:dLblPos val="inEnd"/>
          <c:showLegendKey val="0"/>
          <c:showVal val="1"/>
          <c:showCatName val="0"/>
          <c:showSerName val="0"/>
          <c:showPercent val="0"/>
          <c:showBubbleSize val="0"/>
        </c:dLbls>
        <c:gapWidth val="45"/>
        <c:axId val="1621076032"/>
        <c:axId val="1621075552"/>
      </c:barChart>
      <c:catAx>
        <c:axId val="1621076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21075552"/>
        <c:crosses val="autoZero"/>
        <c:auto val="1"/>
        <c:lblAlgn val="ctr"/>
        <c:lblOffset val="100"/>
        <c:noMultiLvlLbl val="0"/>
      </c:catAx>
      <c:valAx>
        <c:axId val="1621075552"/>
        <c:scaling>
          <c:orientation val="minMax"/>
        </c:scaling>
        <c:delete val="1"/>
        <c:axPos val="b"/>
        <c:numFmt formatCode="General" sourceLinked="1"/>
        <c:majorTickMark val="out"/>
        <c:minorTickMark val="none"/>
        <c:tickLblPos val="nextTo"/>
        <c:crossAx val="1621076032"/>
        <c:crosses val="autoZero"/>
        <c:crossBetween val="between"/>
      </c:valAx>
      <c:spPr>
        <a:noFill/>
        <a:ln>
          <a:noFill/>
        </a:ln>
        <a:effectLst/>
      </c:spPr>
    </c:plotArea>
    <c:legend>
      <c:legendPos val="t"/>
      <c:layout>
        <c:manualLayout>
          <c:xMode val="edge"/>
          <c:yMode val="edge"/>
          <c:x val="0.3118101462943873"/>
          <c:y val="0.13461426591992073"/>
          <c:w val="0.39464200325608467"/>
          <c:h val="0.120525983097096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Dashboard.xlsx]Diagnostic Views!Count Of dignostic markers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Diagnostic Markers</a:t>
            </a:r>
          </a:p>
        </c:rich>
      </c:tx>
      <c:layout>
        <c:manualLayout>
          <c:xMode val="edge"/>
          <c:yMode val="edge"/>
          <c:x val="0.25431755289815833"/>
          <c:y val="4.38278634779307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rgbClr val="00B0F0"/>
          </a:solidFill>
          <a:ln>
            <a:noFill/>
          </a:ln>
          <a:effectLst/>
        </c:spPr>
      </c:pivotFmt>
      <c:pivotFmt>
        <c:idx val="5"/>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73779969530389E-3"/>
          <c:y val="0.27263121574427696"/>
          <c:w val="0.99028677650984454"/>
          <c:h val="0.71158495096843122"/>
        </c:manualLayout>
      </c:layout>
      <c:barChart>
        <c:barDir val="bar"/>
        <c:grouping val="percentStacked"/>
        <c:varyColors val="0"/>
        <c:ser>
          <c:idx val="0"/>
          <c:order val="0"/>
          <c:tx>
            <c:strRef>
              <c:f>'Diagnostic Views'!$A$3</c:f>
              <c:strCache>
                <c:ptCount val="1"/>
                <c:pt idx="0">
                  <c:v>Total NS1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Views'!$A$4</c:f>
              <c:numCache>
                <c:formatCode>General</c:formatCode>
                <c:ptCount val="1"/>
                <c:pt idx="0">
                  <c:v>12</c:v>
                </c:pt>
              </c:numCache>
            </c:numRef>
          </c:val>
          <c:extLst>
            <c:ext xmlns:c16="http://schemas.microsoft.com/office/drawing/2014/chart" uri="{C3380CC4-5D6E-409C-BE32-E72D297353CC}">
              <c16:uniqueId val="{00000000-ED4A-4547-9CE9-AB532480663C}"/>
            </c:ext>
          </c:extLst>
        </c:ser>
        <c:ser>
          <c:idx val="1"/>
          <c:order val="1"/>
          <c:tx>
            <c:strRef>
              <c:f>'Diagnostic Views'!$B$3</c:f>
              <c:strCache>
                <c:ptCount val="1"/>
                <c:pt idx="0">
                  <c:v>Total IgG</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Views'!$B$4</c:f>
              <c:numCache>
                <c:formatCode>General</c:formatCode>
                <c:ptCount val="1"/>
                <c:pt idx="0">
                  <c:v>12</c:v>
                </c:pt>
              </c:numCache>
            </c:numRef>
          </c:val>
          <c:extLst>
            <c:ext xmlns:c16="http://schemas.microsoft.com/office/drawing/2014/chart" uri="{C3380CC4-5D6E-409C-BE32-E72D297353CC}">
              <c16:uniqueId val="{00000001-ED4A-4547-9CE9-AB532480663C}"/>
            </c:ext>
          </c:extLst>
        </c:ser>
        <c:ser>
          <c:idx val="2"/>
          <c:order val="2"/>
          <c:tx>
            <c:strRef>
              <c:f>'Diagnostic Views'!$C$3</c:f>
              <c:strCache>
                <c:ptCount val="1"/>
                <c:pt idx="0">
                  <c:v>Total IgM</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Views'!$C$4</c:f>
              <c:numCache>
                <c:formatCode>General</c:formatCode>
                <c:ptCount val="1"/>
                <c:pt idx="0">
                  <c:v>11</c:v>
                </c:pt>
              </c:numCache>
            </c:numRef>
          </c:val>
          <c:extLst>
            <c:ext xmlns:c16="http://schemas.microsoft.com/office/drawing/2014/chart" uri="{C3380CC4-5D6E-409C-BE32-E72D297353CC}">
              <c16:uniqueId val="{00000002-ED4A-4547-9CE9-AB532480663C}"/>
            </c:ext>
          </c:extLst>
        </c:ser>
        <c:dLbls>
          <c:dLblPos val="ctr"/>
          <c:showLegendKey val="0"/>
          <c:showVal val="1"/>
          <c:showCatName val="0"/>
          <c:showSerName val="0"/>
          <c:showPercent val="0"/>
          <c:showBubbleSize val="0"/>
        </c:dLbls>
        <c:gapWidth val="41"/>
        <c:overlap val="100"/>
        <c:axId val="1468416672"/>
        <c:axId val="1468417152"/>
      </c:barChart>
      <c:catAx>
        <c:axId val="1468416672"/>
        <c:scaling>
          <c:orientation val="minMax"/>
        </c:scaling>
        <c:delete val="1"/>
        <c:axPos val="l"/>
        <c:numFmt formatCode="General" sourceLinked="1"/>
        <c:majorTickMark val="none"/>
        <c:minorTickMark val="none"/>
        <c:tickLblPos val="nextTo"/>
        <c:crossAx val="1468417152"/>
        <c:crosses val="autoZero"/>
        <c:auto val="1"/>
        <c:lblAlgn val="ctr"/>
        <c:lblOffset val="100"/>
        <c:noMultiLvlLbl val="0"/>
      </c:catAx>
      <c:valAx>
        <c:axId val="1468417152"/>
        <c:scaling>
          <c:orientation val="minMax"/>
        </c:scaling>
        <c:delete val="1"/>
        <c:axPos val="b"/>
        <c:numFmt formatCode="0%" sourceLinked="1"/>
        <c:majorTickMark val="none"/>
        <c:minorTickMark val="none"/>
        <c:tickLblPos val="nextTo"/>
        <c:crossAx val="146841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Report Analysis Dashboard.xlsx]Diagnostic Views!Gender Wise Dignostic Views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lumMod val="65000"/>
                    <a:lumOff val="35000"/>
                  </a:schemeClr>
                </a:solidFill>
              </a:rPr>
              <a:t>Gender Wise Diagnostic Distribution</a:t>
            </a:r>
          </a:p>
          <a:p>
            <a:pPr>
              <a:defRPr/>
            </a:pPr>
            <a:r>
              <a:rPr lang="en-US" sz="1400" b="1" i="0" u="none" strike="noStrike" kern="1200" spc="0" baseline="0">
                <a:solidFill>
                  <a:schemeClr val="accent1"/>
                </a:solidFill>
              </a:rPr>
              <a:t>NS1</a:t>
            </a:r>
            <a:r>
              <a:rPr lang="en-US" sz="1400" b="1" i="0" u="none" strike="noStrike" kern="1200" spc="0" baseline="0">
                <a:solidFill>
                  <a:sysClr val="windowText" lastClr="000000">
                    <a:lumMod val="65000"/>
                    <a:lumOff val="35000"/>
                  </a:sysClr>
                </a:solidFill>
              </a:rPr>
              <a:t>, </a:t>
            </a:r>
            <a:r>
              <a:rPr lang="en-US" sz="1400" b="1" i="0" u="none" strike="noStrike" kern="1200" spc="0" baseline="0">
                <a:solidFill>
                  <a:srgbClr val="92D050"/>
                </a:solidFill>
              </a:rPr>
              <a:t>IgG</a:t>
            </a:r>
            <a:r>
              <a:rPr lang="en-US" sz="1400" b="1" i="0" u="none" strike="noStrike" kern="1200" spc="0" baseline="0">
                <a:solidFill>
                  <a:sysClr val="windowText" lastClr="000000">
                    <a:lumMod val="65000"/>
                    <a:lumOff val="35000"/>
                  </a:sysClr>
                </a:solidFill>
              </a:rPr>
              <a:t>, </a:t>
            </a:r>
            <a:r>
              <a:rPr lang="en-US" sz="1400" b="1" i="0" u="none" strike="noStrike" kern="1200" spc="0" baseline="0">
                <a:solidFill>
                  <a:srgbClr val="00B0F0"/>
                </a:solidFill>
              </a:rPr>
              <a:t>IgM</a:t>
            </a:r>
            <a:endParaRPr lang="en-US"/>
          </a:p>
        </c:rich>
      </c:tx>
      <c:layout>
        <c:manualLayout>
          <c:xMode val="edge"/>
          <c:yMode val="edge"/>
          <c:x val="0.13272428630473063"/>
          <c:y val="2.74238596655284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3.5805289146035396E-2"/>
          <c:y val="0.29503350814227874"/>
          <c:w val="0.95345312411015404"/>
          <c:h val="0.49832999901051539"/>
        </c:manualLayout>
      </c:layout>
      <c:barChart>
        <c:barDir val="col"/>
        <c:grouping val="clustered"/>
        <c:varyColors val="0"/>
        <c:ser>
          <c:idx val="0"/>
          <c:order val="0"/>
          <c:tx>
            <c:strRef>
              <c:f>'Diagnostic Views'!$D$17</c:f>
              <c:strCache>
                <c:ptCount val="1"/>
                <c:pt idx="0">
                  <c:v>Total NS1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Views'!$D$18:$D$20</c:f>
              <c:numCache>
                <c:formatCode>General</c:formatCode>
                <c:ptCount val="2"/>
                <c:pt idx="0">
                  <c:v>4</c:v>
                </c:pt>
                <c:pt idx="1">
                  <c:v>8</c:v>
                </c:pt>
              </c:numCache>
            </c:numRef>
          </c:val>
          <c:extLst>
            <c:ext xmlns:c16="http://schemas.microsoft.com/office/drawing/2014/chart" uri="{C3380CC4-5D6E-409C-BE32-E72D297353CC}">
              <c16:uniqueId val="{00000000-C873-40E7-B8AE-4F550193D7AC}"/>
            </c:ext>
          </c:extLst>
        </c:ser>
        <c:ser>
          <c:idx val="1"/>
          <c:order val="1"/>
          <c:tx>
            <c:strRef>
              <c:f>'Diagnostic Views'!$E$17</c:f>
              <c:strCache>
                <c:ptCount val="1"/>
                <c:pt idx="0">
                  <c:v>Total IgG</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Views'!$E$18:$E$20</c:f>
              <c:numCache>
                <c:formatCode>General</c:formatCode>
                <c:ptCount val="2"/>
                <c:pt idx="0">
                  <c:v>4</c:v>
                </c:pt>
                <c:pt idx="1">
                  <c:v>8</c:v>
                </c:pt>
              </c:numCache>
            </c:numRef>
          </c:val>
          <c:extLst>
            <c:ext xmlns:c16="http://schemas.microsoft.com/office/drawing/2014/chart" uri="{C3380CC4-5D6E-409C-BE32-E72D297353CC}">
              <c16:uniqueId val="{00000001-C873-40E7-B8AE-4F550193D7AC}"/>
            </c:ext>
          </c:extLst>
        </c:ser>
        <c:ser>
          <c:idx val="2"/>
          <c:order val="2"/>
          <c:tx>
            <c:strRef>
              <c:f>'Diagnostic Views'!$F$17</c:f>
              <c:strCache>
                <c:ptCount val="1"/>
                <c:pt idx="0">
                  <c:v>Total IgM</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Views'!$F$18:$F$20</c:f>
              <c:numCache>
                <c:formatCode>General</c:formatCode>
                <c:ptCount val="2"/>
                <c:pt idx="0">
                  <c:v>5</c:v>
                </c:pt>
                <c:pt idx="1">
                  <c:v>6</c:v>
                </c:pt>
              </c:numCache>
            </c:numRef>
          </c:val>
          <c:extLst>
            <c:ext xmlns:c16="http://schemas.microsoft.com/office/drawing/2014/chart" uri="{C3380CC4-5D6E-409C-BE32-E72D297353CC}">
              <c16:uniqueId val="{00000002-C873-40E7-B8AE-4F550193D7AC}"/>
            </c:ext>
          </c:extLst>
        </c:ser>
        <c:dLbls>
          <c:dLblPos val="inEnd"/>
          <c:showLegendKey val="0"/>
          <c:showVal val="1"/>
          <c:showCatName val="0"/>
          <c:showSerName val="0"/>
          <c:showPercent val="0"/>
          <c:showBubbleSize val="0"/>
        </c:dLbls>
        <c:gapWidth val="188"/>
        <c:overlap val="-27"/>
        <c:axId val="1402350096"/>
        <c:axId val="1402349136"/>
      </c:barChart>
      <c:catAx>
        <c:axId val="1402350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1200" b="1" i="0" u="none" strike="noStrike" kern="1200" baseline="0">
                <a:solidFill>
                  <a:schemeClr val="tx1">
                    <a:lumMod val="65000"/>
                    <a:lumOff val="35000"/>
                  </a:schemeClr>
                </a:solidFill>
                <a:latin typeface="+mn-lt"/>
                <a:ea typeface="+mn-ea"/>
                <a:cs typeface="+mn-cs"/>
              </a:defRPr>
            </a:pPr>
            <a:endParaRPr lang="en-US"/>
          </a:p>
        </c:txPr>
        <c:crossAx val="1402349136"/>
        <c:crosses val="autoZero"/>
        <c:auto val="1"/>
        <c:lblAlgn val="ctr"/>
        <c:lblOffset val="100"/>
        <c:noMultiLvlLbl val="0"/>
      </c:catAx>
      <c:valAx>
        <c:axId val="1402349136"/>
        <c:scaling>
          <c:orientation val="minMax"/>
        </c:scaling>
        <c:delete val="1"/>
        <c:axPos val="l"/>
        <c:numFmt formatCode="General" sourceLinked="1"/>
        <c:majorTickMark val="out"/>
        <c:minorTickMark val="none"/>
        <c:tickLblPos val="nextTo"/>
        <c:crossAx val="140235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5.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image" Target="../media/image8.sv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231689</xdr:colOff>
      <xdr:row>0</xdr:row>
      <xdr:rowOff>128716</xdr:rowOff>
    </xdr:from>
    <xdr:to>
      <xdr:col>23</xdr:col>
      <xdr:colOff>79517</xdr:colOff>
      <xdr:row>37</xdr:row>
      <xdr:rowOff>124197</xdr:rowOff>
    </xdr:to>
    <xdr:sp macro="" textlink="">
      <xdr:nvSpPr>
        <xdr:cNvPr id="2" name="Rectangle: Rounded Corners 1">
          <a:extLst>
            <a:ext uri="{FF2B5EF4-FFF2-40B4-BE49-F238E27FC236}">
              <a16:creationId xmlns:a16="http://schemas.microsoft.com/office/drawing/2014/main" id="{63D7284F-6E4B-A1D6-3586-85CC8414691A}"/>
            </a:ext>
          </a:extLst>
        </xdr:cNvPr>
        <xdr:cNvSpPr/>
      </xdr:nvSpPr>
      <xdr:spPr>
        <a:xfrm>
          <a:off x="231689" y="128716"/>
          <a:ext cx="14058098" cy="6662981"/>
        </a:xfrm>
        <a:prstGeom prst="roundRect">
          <a:avLst>
            <a:gd name="adj" fmla="val 1646"/>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481458</xdr:colOff>
      <xdr:row>1</xdr:row>
      <xdr:rowOff>11468</xdr:rowOff>
    </xdr:from>
    <xdr:to>
      <xdr:col>23</xdr:col>
      <xdr:colOff>26459</xdr:colOff>
      <xdr:row>4</xdr:row>
      <xdr:rowOff>105833</xdr:rowOff>
    </xdr:to>
    <xdr:sp macro="" textlink="">
      <xdr:nvSpPr>
        <xdr:cNvPr id="3" name="Rectangle: Rounded Corners 2">
          <a:extLst>
            <a:ext uri="{FF2B5EF4-FFF2-40B4-BE49-F238E27FC236}">
              <a16:creationId xmlns:a16="http://schemas.microsoft.com/office/drawing/2014/main" id="{1CA84562-055D-5434-638E-CEA676E355C9}"/>
            </a:ext>
          </a:extLst>
        </xdr:cNvPr>
        <xdr:cNvSpPr/>
      </xdr:nvSpPr>
      <xdr:spPr>
        <a:xfrm>
          <a:off x="2307083" y="196676"/>
          <a:ext cx="11715834" cy="64999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2800" b="1"/>
            <a:t>             Dengue</a:t>
          </a:r>
          <a:r>
            <a:rPr lang="en-US" sz="2800" b="1" baseline="0"/>
            <a:t> Report Analysis Dashboard - Dhaka City</a:t>
          </a:r>
        </a:p>
      </xdr:txBody>
    </xdr:sp>
    <xdr:clientData/>
  </xdr:twoCellAnchor>
  <xdr:twoCellAnchor>
    <xdr:from>
      <xdr:col>3</xdr:col>
      <xdr:colOff>465667</xdr:colOff>
      <xdr:row>4</xdr:row>
      <xdr:rowOff>149804</xdr:rowOff>
    </xdr:from>
    <xdr:to>
      <xdr:col>8</xdr:col>
      <xdr:colOff>-1</xdr:colOff>
      <xdr:row>9</xdr:row>
      <xdr:rowOff>103438</xdr:rowOff>
    </xdr:to>
    <xdr:grpSp>
      <xdr:nvGrpSpPr>
        <xdr:cNvPr id="8" name="Group 7">
          <a:extLst>
            <a:ext uri="{FF2B5EF4-FFF2-40B4-BE49-F238E27FC236}">
              <a16:creationId xmlns:a16="http://schemas.microsoft.com/office/drawing/2014/main" id="{67EC4B58-5122-A03A-3A0B-466C65616443}"/>
            </a:ext>
          </a:extLst>
        </xdr:cNvPr>
        <xdr:cNvGrpSpPr/>
      </xdr:nvGrpSpPr>
      <xdr:grpSpPr>
        <a:xfrm>
          <a:off x="2536319" y="867630"/>
          <a:ext cx="2985419" cy="850917"/>
          <a:chOff x="2361744" y="1065085"/>
          <a:chExt cx="2196493" cy="909620"/>
        </a:xfrm>
      </xdr:grpSpPr>
      <xdr:sp macro="" textlink="">
        <xdr:nvSpPr>
          <xdr:cNvPr id="4" name="Rectangle: Rounded Corners 3">
            <a:extLst>
              <a:ext uri="{FF2B5EF4-FFF2-40B4-BE49-F238E27FC236}">
                <a16:creationId xmlns:a16="http://schemas.microsoft.com/office/drawing/2014/main" id="{C085A946-BADB-F46B-F414-33E3FAB5CA29}"/>
              </a:ext>
            </a:extLst>
          </xdr:cNvPr>
          <xdr:cNvSpPr/>
        </xdr:nvSpPr>
        <xdr:spPr>
          <a:xfrm>
            <a:off x="2361744" y="1067949"/>
            <a:ext cx="1863514" cy="9067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KPI!B4">
        <xdr:nvSpPr>
          <xdr:cNvPr id="5" name="TextBox 4">
            <a:extLst>
              <a:ext uri="{FF2B5EF4-FFF2-40B4-BE49-F238E27FC236}">
                <a16:creationId xmlns:a16="http://schemas.microsoft.com/office/drawing/2014/main" id="{996AEF71-558C-155D-EF5F-5E454F0DBB70}"/>
              </a:ext>
            </a:extLst>
          </xdr:cNvPr>
          <xdr:cNvSpPr txBox="1"/>
        </xdr:nvSpPr>
        <xdr:spPr>
          <a:xfrm>
            <a:off x="2391052" y="1498059"/>
            <a:ext cx="1017650" cy="44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F736B8A-D6D3-4DB4-8B01-B84C9E956547}" type="TxLink">
              <a:rPr lang="en-US" sz="2800" b="1" i="0" u="none" strike="noStrike">
                <a:solidFill>
                  <a:schemeClr val="tx1">
                    <a:lumMod val="65000"/>
                    <a:lumOff val="35000"/>
                  </a:schemeClr>
                </a:solidFill>
                <a:latin typeface="Aptos Narrow"/>
              </a:rPr>
              <a:pPr algn="l"/>
              <a:t>30</a:t>
            </a:fld>
            <a:endParaRPr lang="en-US" sz="2800" b="1">
              <a:solidFill>
                <a:schemeClr val="tx1">
                  <a:lumMod val="65000"/>
                  <a:lumOff val="35000"/>
                </a:schemeClr>
              </a:solidFill>
            </a:endParaRPr>
          </a:p>
        </xdr:txBody>
      </xdr:sp>
      <xdr:sp macro="" textlink="KPI!B4">
        <xdr:nvSpPr>
          <xdr:cNvPr id="7" name="TextBox 6">
            <a:extLst>
              <a:ext uri="{FF2B5EF4-FFF2-40B4-BE49-F238E27FC236}">
                <a16:creationId xmlns:a16="http://schemas.microsoft.com/office/drawing/2014/main" id="{85023685-3186-4A9F-8814-9084E79DEFCD}"/>
              </a:ext>
            </a:extLst>
          </xdr:cNvPr>
          <xdr:cNvSpPr txBox="1"/>
        </xdr:nvSpPr>
        <xdr:spPr>
          <a:xfrm>
            <a:off x="2405705" y="1065085"/>
            <a:ext cx="2152532" cy="46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u="none" strike="noStrike">
                <a:solidFill>
                  <a:schemeClr val="accent2">
                    <a:lumMod val="75000"/>
                  </a:schemeClr>
                </a:solidFill>
                <a:latin typeface="Aptos Narrow"/>
              </a:rPr>
              <a:t>Totat Patient</a:t>
            </a:r>
            <a:endParaRPr lang="en-US" sz="2400" b="1">
              <a:solidFill>
                <a:schemeClr val="accent2">
                  <a:lumMod val="75000"/>
                </a:schemeClr>
              </a:solidFill>
            </a:endParaRPr>
          </a:p>
        </xdr:txBody>
      </xdr:sp>
    </xdr:grpSp>
    <xdr:clientData/>
  </xdr:twoCellAnchor>
  <xdr:twoCellAnchor editAs="oneCell">
    <xdr:from>
      <xdr:col>6</xdr:col>
      <xdr:colOff>299783</xdr:colOff>
      <xdr:row>7</xdr:row>
      <xdr:rowOff>47614</xdr:rowOff>
    </xdr:from>
    <xdr:to>
      <xdr:col>7</xdr:col>
      <xdr:colOff>114348</xdr:colOff>
      <xdr:row>9</xdr:row>
      <xdr:rowOff>58864</xdr:rowOff>
    </xdr:to>
    <xdr:pic>
      <xdr:nvPicPr>
        <xdr:cNvPr id="15" name="Picture 14">
          <a:extLst>
            <a:ext uri="{FF2B5EF4-FFF2-40B4-BE49-F238E27FC236}">
              <a16:creationId xmlns:a16="http://schemas.microsoft.com/office/drawing/2014/main" id="{5F258FA5-E081-2121-5E7C-1EDB35956EE7}"/>
            </a:ext>
          </a:extLst>
        </xdr:cNvPr>
        <xdr:cNvPicPr>
          <a:picLocks noChangeAspect="1"/>
        </xdr:cNvPicPr>
      </xdr:nvPicPr>
      <xdr:blipFill>
        <a:blip xmlns:r="http://schemas.openxmlformats.org/officeDocument/2006/relationships" r:embed="rId1"/>
        <a:stretch>
          <a:fillRect/>
        </a:stretch>
      </xdr:blipFill>
      <xdr:spPr>
        <a:xfrm flipH="1">
          <a:off x="3992552" y="1381114"/>
          <a:ext cx="430027" cy="392250"/>
        </a:xfrm>
        <a:prstGeom prst="rect">
          <a:avLst/>
        </a:prstGeom>
      </xdr:spPr>
    </xdr:pic>
    <xdr:clientData/>
  </xdr:twoCellAnchor>
  <xdr:twoCellAnchor>
    <xdr:from>
      <xdr:col>7</xdr:col>
      <xdr:colOff>116638</xdr:colOff>
      <xdr:row>4</xdr:row>
      <xdr:rowOff>153080</xdr:rowOff>
    </xdr:from>
    <xdr:to>
      <xdr:col>11</xdr:col>
      <xdr:colOff>563729</xdr:colOff>
      <xdr:row>9</xdr:row>
      <xdr:rowOff>117982</xdr:rowOff>
    </xdr:to>
    <xdr:grpSp>
      <xdr:nvGrpSpPr>
        <xdr:cNvPr id="21" name="Group 20">
          <a:extLst>
            <a:ext uri="{FF2B5EF4-FFF2-40B4-BE49-F238E27FC236}">
              <a16:creationId xmlns:a16="http://schemas.microsoft.com/office/drawing/2014/main" id="{3E75B6A0-F138-4C69-B083-C950E0C1CCB8}"/>
            </a:ext>
          </a:extLst>
        </xdr:cNvPr>
        <xdr:cNvGrpSpPr/>
      </xdr:nvGrpSpPr>
      <xdr:grpSpPr>
        <a:xfrm>
          <a:off x="4948160" y="870906"/>
          <a:ext cx="3207960" cy="862185"/>
          <a:chOff x="2221075" y="1065085"/>
          <a:chExt cx="2553282" cy="909620"/>
        </a:xfrm>
      </xdr:grpSpPr>
      <xdr:sp macro="" textlink="">
        <xdr:nvSpPr>
          <xdr:cNvPr id="22" name="Rectangle: Rounded Corners 21">
            <a:extLst>
              <a:ext uri="{FF2B5EF4-FFF2-40B4-BE49-F238E27FC236}">
                <a16:creationId xmlns:a16="http://schemas.microsoft.com/office/drawing/2014/main" id="{FB671C65-0DA9-E404-7C94-028C60DF053E}"/>
              </a:ext>
            </a:extLst>
          </xdr:cNvPr>
          <xdr:cNvSpPr/>
        </xdr:nvSpPr>
        <xdr:spPr>
          <a:xfrm>
            <a:off x="2361744" y="1067949"/>
            <a:ext cx="2259493" cy="9067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KPI!B5">
        <xdr:nvSpPr>
          <xdr:cNvPr id="23" name="TextBox 22">
            <a:extLst>
              <a:ext uri="{FF2B5EF4-FFF2-40B4-BE49-F238E27FC236}">
                <a16:creationId xmlns:a16="http://schemas.microsoft.com/office/drawing/2014/main" id="{3021DC0C-0C02-05B3-4377-55133CD410FD}"/>
              </a:ext>
            </a:extLst>
          </xdr:cNvPr>
          <xdr:cNvSpPr txBox="1"/>
        </xdr:nvSpPr>
        <xdr:spPr>
          <a:xfrm>
            <a:off x="2391052" y="1498059"/>
            <a:ext cx="1017650" cy="44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4367F0-92A6-48EA-9B7D-E24B9FE5D93C}" type="TxLink">
              <a:rPr lang="en-US" sz="2800" b="1" i="0" u="none" strike="noStrike">
                <a:solidFill>
                  <a:schemeClr val="tx1">
                    <a:lumMod val="65000"/>
                    <a:lumOff val="35000"/>
                  </a:schemeClr>
                </a:solidFill>
                <a:latin typeface="Aptos Narrow"/>
              </a:rPr>
              <a:pPr algn="ctr"/>
              <a:t>12</a:t>
            </a:fld>
            <a:endParaRPr lang="en-US" sz="6000" b="1">
              <a:solidFill>
                <a:schemeClr val="tx1">
                  <a:lumMod val="65000"/>
                  <a:lumOff val="35000"/>
                </a:schemeClr>
              </a:solidFill>
            </a:endParaRPr>
          </a:p>
        </xdr:txBody>
      </xdr:sp>
      <xdr:sp macro="" textlink="KPI!B4">
        <xdr:nvSpPr>
          <xdr:cNvPr id="24" name="TextBox 23">
            <a:extLst>
              <a:ext uri="{FF2B5EF4-FFF2-40B4-BE49-F238E27FC236}">
                <a16:creationId xmlns:a16="http://schemas.microsoft.com/office/drawing/2014/main" id="{22C6EF5E-28D0-0E58-C99F-9046481E01E4}"/>
              </a:ext>
            </a:extLst>
          </xdr:cNvPr>
          <xdr:cNvSpPr txBox="1"/>
        </xdr:nvSpPr>
        <xdr:spPr>
          <a:xfrm>
            <a:off x="2221075" y="1065085"/>
            <a:ext cx="2553282" cy="46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accent2">
                    <a:lumMod val="75000"/>
                  </a:schemeClr>
                </a:solidFill>
                <a:latin typeface="Aptos Narrow"/>
              </a:rPr>
              <a:t>Affected Patients</a:t>
            </a:r>
            <a:endParaRPr lang="en-US" sz="2400" b="1">
              <a:solidFill>
                <a:schemeClr val="accent2">
                  <a:lumMod val="75000"/>
                </a:schemeClr>
              </a:solidFill>
            </a:endParaRPr>
          </a:p>
        </xdr:txBody>
      </xdr:sp>
    </xdr:grpSp>
    <xdr:clientData/>
  </xdr:twoCellAnchor>
  <xdr:twoCellAnchor>
    <xdr:from>
      <xdr:col>11</xdr:col>
      <xdr:colOff>449773</xdr:colOff>
      <xdr:row>4</xdr:row>
      <xdr:rowOff>154214</xdr:rowOff>
    </xdr:from>
    <xdr:to>
      <xdr:col>16</xdr:col>
      <xdr:colOff>19438</xdr:colOff>
      <xdr:row>9</xdr:row>
      <xdr:rowOff>120195</xdr:rowOff>
    </xdr:to>
    <xdr:grpSp>
      <xdr:nvGrpSpPr>
        <xdr:cNvPr id="30" name="Group 29">
          <a:extLst>
            <a:ext uri="{FF2B5EF4-FFF2-40B4-BE49-F238E27FC236}">
              <a16:creationId xmlns:a16="http://schemas.microsoft.com/office/drawing/2014/main" id="{16D32E83-51FE-402E-84E4-96078BE513E1}"/>
            </a:ext>
          </a:extLst>
        </xdr:cNvPr>
        <xdr:cNvGrpSpPr/>
      </xdr:nvGrpSpPr>
      <xdr:grpSpPr>
        <a:xfrm>
          <a:off x="8042164" y="872040"/>
          <a:ext cx="3020752" cy="863264"/>
          <a:chOff x="2361744" y="1065085"/>
          <a:chExt cx="2196493" cy="909620"/>
        </a:xfrm>
      </xdr:grpSpPr>
      <xdr:sp macro="" textlink="">
        <xdr:nvSpPr>
          <xdr:cNvPr id="31" name="Rectangle: Rounded Corners 30">
            <a:extLst>
              <a:ext uri="{FF2B5EF4-FFF2-40B4-BE49-F238E27FC236}">
                <a16:creationId xmlns:a16="http://schemas.microsoft.com/office/drawing/2014/main" id="{68BBA25F-95D1-714C-2BDE-3EAF641970D4}"/>
              </a:ext>
            </a:extLst>
          </xdr:cNvPr>
          <xdr:cNvSpPr/>
        </xdr:nvSpPr>
        <xdr:spPr>
          <a:xfrm>
            <a:off x="2361744" y="1067949"/>
            <a:ext cx="1863514" cy="9067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KPI!B7">
        <xdr:nvSpPr>
          <xdr:cNvPr id="32" name="TextBox 31">
            <a:extLst>
              <a:ext uri="{FF2B5EF4-FFF2-40B4-BE49-F238E27FC236}">
                <a16:creationId xmlns:a16="http://schemas.microsoft.com/office/drawing/2014/main" id="{F14A8FD2-A8AB-EEC8-0437-D34816CC28C0}"/>
              </a:ext>
            </a:extLst>
          </xdr:cNvPr>
          <xdr:cNvSpPr txBox="1"/>
        </xdr:nvSpPr>
        <xdr:spPr>
          <a:xfrm>
            <a:off x="2424116" y="1498059"/>
            <a:ext cx="1017650" cy="44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FE372A2-2D86-445A-A223-8DC9C6EF77B0}" type="TxLink">
              <a:rPr lang="en-US" sz="2800" b="1" i="0" u="none" strike="noStrike">
                <a:solidFill>
                  <a:schemeClr val="tx1">
                    <a:lumMod val="65000"/>
                    <a:lumOff val="35000"/>
                  </a:schemeClr>
                </a:solidFill>
                <a:latin typeface="Aptos Narrow"/>
              </a:rPr>
              <a:pPr algn="l"/>
              <a:t>39</a:t>
            </a:fld>
            <a:endParaRPr lang="en-US" sz="6000" b="1">
              <a:solidFill>
                <a:schemeClr val="tx1">
                  <a:lumMod val="65000"/>
                  <a:lumOff val="35000"/>
                </a:schemeClr>
              </a:solidFill>
            </a:endParaRPr>
          </a:p>
        </xdr:txBody>
      </xdr:sp>
      <xdr:sp macro="" textlink="KPI!B4">
        <xdr:nvSpPr>
          <xdr:cNvPr id="33" name="TextBox 32">
            <a:extLst>
              <a:ext uri="{FF2B5EF4-FFF2-40B4-BE49-F238E27FC236}">
                <a16:creationId xmlns:a16="http://schemas.microsoft.com/office/drawing/2014/main" id="{9F489DC3-89EB-0360-8555-CD1F66BCE72D}"/>
              </a:ext>
            </a:extLst>
          </xdr:cNvPr>
          <xdr:cNvSpPr txBox="1"/>
        </xdr:nvSpPr>
        <xdr:spPr>
          <a:xfrm>
            <a:off x="2405705" y="1065085"/>
            <a:ext cx="2152532" cy="46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u="none" strike="noStrike">
                <a:solidFill>
                  <a:schemeClr val="accent2">
                    <a:lumMod val="75000"/>
                  </a:schemeClr>
                </a:solidFill>
                <a:latin typeface="Aptos Narrow"/>
              </a:rPr>
              <a:t>Average Age</a:t>
            </a:r>
            <a:endParaRPr lang="en-US" sz="2400" b="1">
              <a:solidFill>
                <a:schemeClr val="accent2">
                  <a:lumMod val="75000"/>
                </a:schemeClr>
              </a:solidFill>
            </a:endParaRPr>
          </a:p>
        </xdr:txBody>
      </xdr:sp>
    </xdr:grpSp>
    <xdr:clientData/>
  </xdr:twoCellAnchor>
  <xdr:twoCellAnchor>
    <xdr:from>
      <xdr:col>15</xdr:col>
      <xdr:colOff>283859</xdr:colOff>
      <xdr:row>4</xdr:row>
      <xdr:rowOff>153458</xdr:rowOff>
    </xdr:from>
    <xdr:to>
      <xdr:col>19</xdr:col>
      <xdr:colOff>544284</xdr:colOff>
      <xdr:row>9</xdr:row>
      <xdr:rowOff>126080</xdr:rowOff>
    </xdr:to>
    <xdr:grpSp>
      <xdr:nvGrpSpPr>
        <xdr:cNvPr id="38" name="Group 37">
          <a:extLst>
            <a:ext uri="{FF2B5EF4-FFF2-40B4-BE49-F238E27FC236}">
              <a16:creationId xmlns:a16="http://schemas.microsoft.com/office/drawing/2014/main" id="{EF0C6E0B-7AAB-4E65-B4ED-63C35D2BE579}"/>
            </a:ext>
          </a:extLst>
        </xdr:cNvPr>
        <xdr:cNvGrpSpPr/>
      </xdr:nvGrpSpPr>
      <xdr:grpSpPr>
        <a:xfrm>
          <a:off x="10637120" y="871284"/>
          <a:ext cx="3021294" cy="869905"/>
          <a:chOff x="2361744" y="1065085"/>
          <a:chExt cx="2196493" cy="909620"/>
        </a:xfrm>
      </xdr:grpSpPr>
      <xdr:sp macro="" textlink="">
        <xdr:nvSpPr>
          <xdr:cNvPr id="39" name="Rectangle: Rounded Corners 38">
            <a:extLst>
              <a:ext uri="{FF2B5EF4-FFF2-40B4-BE49-F238E27FC236}">
                <a16:creationId xmlns:a16="http://schemas.microsoft.com/office/drawing/2014/main" id="{69F8D52A-FF00-678D-81F6-CAAC11E17CA0}"/>
              </a:ext>
            </a:extLst>
          </xdr:cNvPr>
          <xdr:cNvSpPr/>
        </xdr:nvSpPr>
        <xdr:spPr>
          <a:xfrm>
            <a:off x="2361744" y="1067949"/>
            <a:ext cx="1863514" cy="9067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KPI!B9">
        <xdr:nvSpPr>
          <xdr:cNvPr id="40" name="TextBox 39">
            <a:extLst>
              <a:ext uri="{FF2B5EF4-FFF2-40B4-BE49-F238E27FC236}">
                <a16:creationId xmlns:a16="http://schemas.microsoft.com/office/drawing/2014/main" id="{5575BD23-C4F2-83F5-DCED-C1E670678B11}"/>
              </a:ext>
            </a:extLst>
          </xdr:cNvPr>
          <xdr:cNvSpPr txBox="1"/>
        </xdr:nvSpPr>
        <xdr:spPr>
          <a:xfrm>
            <a:off x="2391052" y="1498059"/>
            <a:ext cx="1017650" cy="44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BFCF718-E5EE-4502-992A-A7532DA64BAA}" type="TxLink">
              <a:rPr lang="en-US" sz="2800" b="1" i="0" u="none" strike="noStrike">
                <a:solidFill>
                  <a:schemeClr val="tx1">
                    <a:lumMod val="65000"/>
                    <a:lumOff val="35000"/>
                  </a:schemeClr>
                </a:solidFill>
                <a:latin typeface="Aptos Narrow"/>
              </a:rPr>
              <a:pPr algn="l"/>
              <a:t>36</a:t>
            </a:fld>
            <a:endParaRPr lang="en-US" sz="6000" b="1">
              <a:solidFill>
                <a:schemeClr val="tx1">
                  <a:lumMod val="65000"/>
                  <a:lumOff val="35000"/>
                </a:schemeClr>
              </a:solidFill>
            </a:endParaRPr>
          </a:p>
        </xdr:txBody>
      </xdr:sp>
      <xdr:sp macro="" textlink="KPI!B4">
        <xdr:nvSpPr>
          <xdr:cNvPr id="41" name="TextBox 40">
            <a:extLst>
              <a:ext uri="{FF2B5EF4-FFF2-40B4-BE49-F238E27FC236}">
                <a16:creationId xmlns:a16="http://schemas.microsoft.com/office/drawing/2014/main" id="{6321A056-01B9-253E-5F95-9B69B833BDC5}"/>
              </a:ext>
            </a:extLst>
          </xdr:cNvPr>
          <xdr:cNvSpPr txBox="1"/>
        </xdr:nvSpPr>
        <xdr:spPr>
          <a:xfrm>
            <a:off x="2405705" y="1065085"/>
            <a:ext cx="2152532" cy="46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u="none" strike="noStrike">
                <a:solidFill>
                  <a:schemeClr val="accent2">
                    <a:lumMod val="75000"/>
                  </a:schemeClr>
                </a:solidFill>
                <a:latin typeface="Aptos Narrow"/>
              </a:rPr>
              <a:t>Total Area</a:t>
            </a:r>
            <a:endParaRPr lang="en-US" sz="2400" b="1">
              <a:solidFill>
                <a:schemeClr val="accent2">
                  <a:lumMod val="75000"/>
                </a:schemeClr>
              </a:solidFill>
            </a:endParaRPr>
          </a:p>
        </xdr:txBody>
      </xdr:sp>
    </xdr:grpSp>
    <xdr:clientData/>
  </xdr:twoCellAnchor>
  <xdr:twoCellAnchor editAs="oneCell">
    <xdr:from>
      <xdr:col>10</xdr:col>
      <xdr:colOff>446781</xdr:colOff>
      <xdr:row>7</xdr:row>
      <xdr:rowOff>55103</xdr:rowOff>
    </xdr:from>
    <xdr:to>
      <xdr:col>11</xdr:col>
      <xdr:colOff>202632</xdr:colOff>
      <xdr:row>9</xdr:row>
      <xdr:rowOff>42721</xdr:rowOff>
    </xdr:to>
    <xdr:pic>
      <xdr:nvPicPr>
        <xdr:cNvPr id="46" name="Picture 45" descr="Patient free icons designed by Pixel perfect">
          <a:extLst>
            <a:ext uri="{FF2B5EF4-FFF2-40B4-BE49-F238E27FC236}">
              <a16:creationId xmlns:a16="http://schemas.microsoft.com/office/drawing/2014/main" id="{21646B8F-DD07-36E8-ABEB-196475CB2C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6472801" y="1415817"/>
          <a:ext cx="358453" cy="376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275423</xdr:colOff>
      <xdr:row>6</xdr:row>
      <xdr:rowOff>164940</xdr:rowOff>
    </xdr:from>
    <xdr:to>
      <xdr:col>15</xdr:col>
      <xdr:colOff>150502</xdr:colOff>
      <xdr:row>9</xdr:row>
      <xdr:rowOff>73055</xdr:rowOff>
    </xdr:to>
    <xdr:pic>
      <xdr:nvPicPr>
        <xdr:cNvPr id="52" name="Picture 51">
          <a:extLst>
            <a:ext uri="{FF2B5EF4-FFF2-40B4-BE49-F238E27FC236}">
              <a16:creationId xmlns:a16="http://schemas.microsoft.com/office/drawing/2014/main" id="{0EC9EA69-2F89-D7D9-23BF-B563BA9D90CB}"/>
            </a:ext>
          </a:extLst>
        </xdr:cNvPr>
        <xdr:cNvPicPr>
          <a:picLocks noChangeAspect="1"/>
        </xdr:cNvPicPr>
      </xdr:nvPicPr>
      <xdr:blipFill>
        <a:blip xmlns:r="http://schemas.openxmlformats.org/officeDocument/2006/relationships" r:embed="rId3"/>
        <a:stretch>
          <a:fillRect/>
        </a:stretch>
      </xdr:blipFill>
      <xdr:spPr>
        <a:xfrm>
          <a:off x="8790543" y="1335482"/>
          <a:ext cx="483302" cy="493386"/>
        </a:xfrm>
        <a:prstGeom prst="rect">
          <a:avLst/>
        </a:prstGeom>
      </xdr:spPr>
    </xdr:pic>
    <xdr:clientData/>
  </xdr:twoCellAnchor>
  <xdr:twoCellAnchor editAs="oneCell">
    <xdr:from>
      <xdr:col>18</xdr:col>
      <xdr:colOff>103283</xdr:colOff>
      <xdr:row>6</xdr:row>
      <xdr:rowOff>186796</xdr:rowOff>
    </xdr:from>
    <xdr:to>
      <xdr:col>18</xdr:col>
      <xdr:colOff>578906</xdr:colOff>
      <xdr:row>9</xdr:row>
      <xdr:rowOff>78079</xdr:rowOff>
    </xdr:to>
    <xdr:pic>
      <xdr:nvPicPr>
        <xdr:cNvPr id="57" name="Picture 56">
          <a:extLst>
            <a:ext uri="{FF2B5EF4-FFF2-40B4-BE49-F238E27FC236}">
              <a16:creationId xmlns:a16="http://schemas.microsoft.com/office/drawing/2014/main" id="{98C22FDF-35D0-DE26-086D-D73786AF28B6}"/>
            </a:ext>
          </a:extLst>
        </xdr:cNvPr>
        <xdr:cNvPicPr>
          <a:picLocks noChangeAspect="1"/>
        </xdr:cNvPicPr>
      </xdr:nvPicPr>
      <xdr:blipFill>
        <a:blip xmlns:r="http://schemas.openxmlformats.org/officeDocument/2006/relationships" r:embed="rId4"/>
        <a:stretch>
          <a:fillRect/>
        </a:stretch>
      </xdr:blipFill>
      <xdr:spPr>
        <a:xfrm>
          <a:off x="11051295" y="1357338"/>
          <a:ext cx="475623" cy="476554"/>
        </a:xfrm>
        <a:prstGeom prst="rect">
          <a:avLst/>
        </a:prstGeom>
      </xdr:spPr>
    </xdr:pic>
    <xdr:clientData/>
  </xdr:twoCellAnchor>
  <xdr:twoCellAnchor>
    <xdr:from>
      <xdr:col>0</xdr:col>
      <xdr:colOff>214342</xdr:colOff>
      <xdr:row>0</xdr:row>
      <xdr:rowOff>114499</xdr:rowOff>
    </xdr:from>
    <xdr:to>
      <xdr:col>3</xdr:col>
      <xdr:colOff>391927</xdr:colOff>
      <xdr:row>37</xdr:row>
      <xdr:rowOff>136880</xdr:rowOff>
    </xdr:to>
    <xdr:sp macro="" textlink="">
      <xdr:nvSpPr>
        <xdr:cNvPr id="60" name="Rectangle: Rounded Corners 59">
          <a:extLst>
            <a:ext uri="{FF2B5EF4-FFF2-40B4-BE49-F238E27FC236}">
              <a16:creationId xmlns:a16="http://schemas.microsoft.com/office/drawing/2014/main" id="{FB1EDB0A-D176-86FE-A5AC-0D20FEF8100D}"/>
            </a:ext>
          </a:extLst>
        </xdr:cNvPr>
        <xdr:cNvSpPr/>
      </xdr:nvSpPr>
      <xdr:spPr>
        <a:xfrm>
          <a:off x="214342" y="114499"/>
          <a:ext cx="2023970" cy="7070881"/>
        </a:xfrm>
        <a:prstGeom prst="roundRect">
          <a:avLst>
            <a:gd name="adj" fmla="val 5944"/>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138703</xdr:colOff>
      <xdr:row>4</xdr:row>
      <xdr:rowOff>153458</xdr:rowOff>
    </xdr:from>
    <xdr:to>
      <xdr:col>23</xdr:col>
      <xdr:colOff>304271</xdr:colOff>
      <xdr:row>9</xdr:row>
      <xdr:rowOff>129638</xdr:rowOff>
    </xdr:to>
    <xdr:grpSp>
      <xdr:nvGrpSpPr>
        <xdr:cNvPr id="71" name="Group 70">
          <a:extLst>
            <a:ext uri="{FF2B5EF4-FFF2-40B4-BE49-F238E27FC236}">
              <a16:creationId xmlns:a16="http://schemas.microsoft.com/office/drawing/2014/main" id="{AAB7E3F7-8F1A-4626-B82E-4418AC8D8160}"/>
            </a:ext>
          </a:extLst>
        </xdr:cNvPr>
        <xdr:cNvGrpSpPr/>
      </xdr:nvGrpSpPr>
      <xdr:grpSpPr>
        <a:xfrm>
          <a:off x="13252833" y="871284"/>
          <a:ext cx="2926438" cy="873463"/>
          <a:chOff x="2325289" y="1065085"/>
          <a:chExt cx="2553282" cy="909620"/>
        </a:xfrm>
      </xdr:grpSpPr>
      <xdr:sp macro="" textlink="">
        <xdr:nvSpPr>
          <xdr:cNvPr id="72" name="Rectangle: Rounded Corners 71">
            <a:extLst>
              <a:ext uri="{FF2B5EF4-FFF2-40B4-BE49-F238E27FC236}">
                <a16:creationId xmlns:a16="http://schemas.microsoft.com/office/drawing/2014/main" id="{6E726A4B-1DED-3E70-0135-771AA84E33EC}"/>
              </a:ext>
            </a:extLst>
          </xdr:cNvPr>
          <xdr:cNvSpPr/>
        </xdr:nvSpPr>
        <xdr:spPr>
          <a:xfrm>
            <a:off x="2361744" y="1067949"/>
            <a:ext cx="2259493" cy="9067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KPI!B11">
        <xdr:nvSpPr>
          <xdr:cNvPr id="73" name="TextBox 72">
            <a:extLst>
              <a:ext uri="{FF2B5EF4-FFF2-40B4-BE49-F238E27FC236}">
                <a16:creationId xmlns:a16="http://schemas.microsoft.com/office/drawing/2014/main" id="{AD12AF72-C522-5ED2-0186-C946112854E2}"/>
              </a:ext>
            </a:extLst>
          </xdr:cNvPr>
          <xdr:cNvSpPr txBox="1"/>
        </xdr:nvSpPr>
        <xdr:spPr>
          <a:xfrm>
            <a:off x="2391052" y="1498059"/>
            <a:ext cx="1339387" cy="44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1F58B4-9E70-4708-8F4B-CCEE55C4C1B9}" type="TxLink">
              <a:rPr lang="en-US" sz="2800" b="1" i="0" u="none" strike="noStrike">
                <a:solidFill>
                  <a:schemeClr val="tx1">
                    <a:lumMod val="65000"/>
                    <a:lumOff val="35000"/>
                  </a:schemeClr>
                </a:solidFill>
                <a:latin typeface="Aptos Narrow"/>
              </a:rPr>
              <a:pPr algn="ctr"/>
              <a:t>40.00%</a:t>
            </a:fld>
            <a:endParaRPr lang="en-US" sz="13800" b="1">
              <a:solidFill>
                <a:schemeClr val="tx1">
                  <a:lumMod val="65000"/>
                  <a:lumOff val="35000"/>
                </a:schemeClr>
              </a:solidFill>
            </a:endParaRPr>
          </a:p>
        </xdr:txBody>
      </xdr:sp>
      <xdr:sp macro="" textlink="KPI!B4">
        <xdr:nvSpPr>
          <xdr:cNvPr id="74" name="TextBox 73">
            <a:extLst>
              <a:ext uri="{FF2B5EF4-FFF2-40B4-BE49-F238E27FC236}">
                <a16:creationId xmlns:a16="http://schemas.microsoft.com/office/drawing/2014/main" id="{6AA14CD7-FE81-DD35-47C7-FCC0008EB2D7}"/>
              </a:ext>
            </a:extLst>
          </xdr:cNvPr>
          <xdr:cNvSpPr txBox="1"/>
        </xdr:nvSpPr>
        <xdr:spPr>
          <a:xfrm>
            <a:off x="2325289" y="1065085"/>
            <a:ext cx="2553282" cy="46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u="none" strike="noStrike">
                <a:solidFill>
                  <a:schemeClr val="accent2">
                    <a:lumMod val="75000"/>
                  </a:schemeClr>
                </a:solidFill>
                <a:latin typeface="Aptos Narrow"/>
              </a:rPr>
              <a:t>Prevalence Rate</a:t>
            </a:r>
            <a:endParaRPr lang="en-US" sz="2400" b="1">
              <a:solidFill>
                <a:schemeClr val="accent2">
                  <a:lumMod val="75000"/>
                </a:schemeClr>
              </a:solidFill>
            </a:endParaRPr>
          </a:p>
        </xdr:txBody>
      </xdr:sp>
    </xdr:grpSp>
    <xdr:clientData/>
  </xdr:twoCellAnchor>
  <xdr:twoCellAnchor>
    <xdr:from>
      <xdr:col>3</xdr:col>
      <xdr:colOff>460375</xdr:colOff>
      <xdr:row>9</xdr:row>
      <xdr:rowOff>168089</xdr:rowOff>
    </xdr:from>
    <xdr:to>
      <xdr:col>11</xdr:col>
      <xdr:colOff>115786</xdr:colOff>
      <xdr:row>21</xdr:row>
      <xdr:rowOff>99364</xdr:rowOff>
    </xdr:to>
    <xdr:grpSp>
      <xdr:nvGrpSpPr>
        <xdr:cNvPr id="82" name="Group 81">
          <a:extLst>
            <a:ext uri="{FF2B5EF4-FFF2-40B4-BE49-F238E27FC236}">
              <a16:creationId xmlns:a16="http://schemas.microsoft.com/office/drawing/2014/main" id="{48B52321-33EE-C6B1-8887-2B88F28C8C91}"/>
            </a:ext>
          </a:extLst>
        </xdr:cNvPr>
        <xdr:cNvGrpSpPr/>
      </xdr:nvGrpSpPr>
      <xdr:grpSpPr>
        <a:xfrm>
          <a:off x="2531027" y="1783198"/>
          <a:ext cx="5177150" cy="2084753"/>
          <a:chOff x="2372525" y="2016878"/>
          <a:chExt cx="4536692" cy="2226777"/>
        </a:xfrm>
      </xdr:grpSpPr>
      <xdr:sp macro="" textlink="">
        <xdr:nvSpPr>
          <xdr:cNvPr id="75" name="Rectangle: Rounded Corners 74">
            <a:extLst>
              <a:ext uri="{FF2B5EF4-FFF2-40B4-BE49-F238E27FC236}">
                <a16:creationId xmlns:a16="http://schemas.microsoft.com/office/drawing/2014/main" id="{FB23AA5C-ED91-298E-3963-C53EA31E4D9F}"/>
              </a:ext>
            </a:extLst>
          </xdr:cNvPr>
          <xdr:cNvSpPr/>
        </xdr:nvSpPr>
        <xdr:spPr>
          <a:xfrm>
            <a:off x="2372525" y="2016878"/>
            <a:ext cx="4536692" cy="2226777"/>
          </a:xfrm>
          <a:prstGeom prst="roundRect">
            <a:avLst>
              <a:gd name="adj" fmla="val 579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78" name="Chart 77">
            <a:extLst>
              <a:ext uri="{FF2B5EF4-FFF2-40B4-BE49-F238E27FC236}">
                <a16:creationId xmlns:a16="http://schemas.microsoft.com/office/drawing/2014/main" id="{8832F14B-439A-4F74-A884-9A58467018F4}"/>
              </a:ext>
            </a:extLst>
          </xdr:cNvPr>
          <xdr:cNvGraphicFramePr>
            <a:graphicFrameLocks/>
          </xdr:cNvGraphicFramePr>
        </xdr:nvGraphicFramePr>
        <xdr:xfrm>
          <a:off x="2475167" y="2098477"/>
          <a:ext cx="4304211" cy="20333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11</xdr:col>
      <xdr:colOff>148166</xdr:colOff>
      <xdr:row>9</xdr:row>
      <xdr:rowOff>173182</xdr:rowOff>
    </xdr:from>
    <xdr:to>
      <xdr:col>17</xdr:col>
      <xdr:colOff>144318</xdr:colOff>
      <xdr:row>21</xdr:row>
      <xdr:rowOff>92604</xdr:rowOff>
    </xdr:to>
    <xdr:grpSp>
      <xdr:nvGrpSpPr>
        <xdr:cNvPr id="87" name="Group 86">
          <a:extLst>
            <a:ext uri="{FF2B5EF4-FFF2-40B4-BE49-F238E27FC236}">
              <a16:creationId xmlns:a16="http://schemas.microsoft.com/office/drawing/2014/main" id="{28AF78EE-2E75-7152-C5B4-B18365B8D451}"/>
            </a:ext>
          </a:extLst>
        </xdr:cNvPr>
        <xdr:cNvGrpSpPr/>
      </xdr:nvGrpSpPr>
      <xdr:grpSpPr>
        <a:xfrm>
          <a:off x="7740557" y="1788291"/>
          <a:ext cx="4137457" cy="2072900"/>
          <a:chOff x="6965156" y="1994296"/>
          <a:chExt cx="3914180" cy="2158008"/>
        </a:xfrm>
      </xdr:grpSpPr>
      <xdr:sp macro="" textlink="">
        <xdr:nvSpPr>
          <xdr:cNvPr id="86" name="Rectangle: Rounded Corners 85">
            <a:extLst>
              <a:ext uri="{FF2B5EF4-FFF2-40B4-BE49-F238E27FC236}">
                <a16:creationId xmlns:a16="http://schemas.microsoft.com/office/drawing/2014/main" id="{3B50963C-583C-CB21-7413-C517DFE5E6DC}"/>
              </a:ext>
            </a:extLst>
          </xdr:cNvPr>
          <xdr:cNvSpPr/>
        </xdr:nvSpPr>
        <xdr:spPr>
          <a:xfrm>
            <a:off x="6965156" y="1994296"/>
            <a:ext cx="3914180" cy="2158008"/>
          </a:xfrm>
          <a:prstGeom prst="roundRect">
            <a:avLst>
              <a:gd name="adj" fmla="val 35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85" name="Chart 84">
            <a:extLst>
              <a:ext uri="{FF2B5EF4-FFF2-40B4-BE49-F238E27FC236}">
                <a16:creationId xmlns:a16="http://schemas.microsoft.com/office/drawing/2014/main" id="{1F0B91C7-E437-4862-B38D-9521E0335713}"/>
              </a:ext>
            </a:extLst>
          </xdr:cNvPr>
          <xdr:cNvGraphicFramePr>
            <a:graphicFrameLocks/>
          </xdr:cNvGraphicFramePr>
        </xdr:nvGraphicFramePr>
        <xdr:xfrm>
          <a:off x="7091461" y="2056370"/>
          <a:ext cx="3574428" cy="206871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17</xdr:col>
      <xdr:colOff>176405</xdr:colOff>
      <xdr:row>9</xdr:row>
      <xdr:rowOff>174625</xdr:rowOff>
    </xdr:from>
    <xdr:to>
      <xdr:col>23</xdr:col>
      <xdr:colOff>39436</xdr:colOff>
      <xdr:row>18</xdr:row>
      <xdr:rowOff>117493</xdr:rowOff>
    </xdr:to>
    <xdr:grpSp>
      <xdr:nvGrpSpPr>
        <xdr:cNvPr id="92" name="Group 91">
          <a:extLst>
            <a:ext uri="{FF2B5EF4-FFF2-40B4-BE49-F238E27FC236}">
              <a16:creationId xmlns:a16="http://schemas.microsoft.com/office/drawing/2014/main" id="{6D1CF989-E74D-928F-C05B-7E1B439EB46B}"/>
            </a:ext>
          </a:extLst>
        </xdr:cNvPr>
        <xdr:cNvGrpSpPr/>
      </xdr:nvGrpSpPr>
      <xdr:grpSpPr>
        <a:xfrm>
          <a:off x="11910101" y="1789734"/>
          <a:ext cx="4004335" cy="1557976"/>
          <a:chOff x="11132343" y="1994297"/>
          <a:chExt cx="2797968" cy="2604492"/>
        </a:xfrm>
      </xdr:grpSpPr>
      <xdr:sp macro="" textlink="">
        <xdr:nvSpPr>
          <xdr:cNvPr id="88" name="Rectangle: Rounded Corners 87">
            <a:extLst>
              <a:ext uri="{FF2B5EF4-FFF2-40B4-BE49-F238E27FC236}">
                <a16:creationId xmlns:a16="http://schemas.microsoft.com/office/drawing/2014/main" id="{E51B81F0-6B09-9770-FB48-E1C8053697AC}"/>
              </a:ext>
            </a:extLst>
          </xdr:cNvPr>
          <xdr:cNvSpPr/>
        </xdr:nvSpPr>
        <xdr:spPr>
          <a:xfrm>
            <a:off x="11132343" y="1994297"/>
            <a:ext cx="2797968" cy="2604492"/>
          </a:xfrm>
          <a:prstGeom prst="roundRect">
            <a:avLst>
              <a:gd name="adj" fmla="val 809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91" name="Chart 90">
            <a:extLst>
              <a:ext uri="{FF2B5EF4-FFF2-40B4-BE49-F238E27FC236}">
                <a16:creationId xmlns:a16="http://schemas.microsoft.com/office/drawing/2014/main" id="{9DEEEC82-C627-4D74-BF3B-27E47F105421}"/>
              </a:ext>
            </a:extLst>
          </xdr:cNvPr>
          <xdr:cNvGraphicFramePr>
            <a:graphicFrameLocks/>
          </xdr:cNvGraphicFramePr>
        </xdr:nvGraphicFramePr>
        <xdr:xfrm>
          <a:off x="11179367" y="2041947"/>
          <a:ext cx="2711223" cy="247470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3</xdr:col>
      <xdr:colOff>444500</xdr:colOff>
      <xdr:row>21</xdr:row>
      <xdr:rowOff>134378</xdr:rowOff>
    </xdr:from>
    <xdr:to>
      <xdr:col>11</xdr:col>
      <xdr:colOff>542048</xdr:colOff>
      <xdr:row>37</xdr:row>
      <xdr:rowOff>85207</xdr:rowOff>
    </xdr:to>
    <xdr:grpSp>
      <xdr:nvGrpSpPr>
        <xdr:cNvPr id="95" name="Group 94">
          <a:extLst>
            <a:ext uri="{FF2B5EF4-FFF2-40B4-BE49-F238E27FC236}">
              <a16:creationId xmlns:a16="http://schemas.microsoft.com/office/drawing/2014/main" id="{539691CE-283A-5542-762A-F5FFAABEECA9}"/>
            </a:ext>
          </a:extLst>
        </xdr:cNvPr>
        <xdr:cNvGrpSpPr/>
      </xdr:nvGrpSpPr>
      <xdr:grpSpPr>
        <a:xfrm>
          <a:off x="2515152" y="3902965"/>
          <a:ext cx="5619287" cy="2822133"/>
          <a:chOff x="6427720" y="2464593"/>
          <a:chExt cx="5595938" cy="3530204"/>
        </a:xfrm>
      </xdr:grpSpPr>
      <xdr:sp macro="" textlink="">
        <xdr:nvSpPr>
          <xdr:cNvPr id="93" name="Rectangle: Rounded Corners 92">
            <a:extLst>
              <a:ext uri="{FF2B5EF4-FFF2-40B4-BE49-F238E27FC236}">
                <a16:creationId xmlns:a16="http://schemas.microsoft.com/office/drawing/2014/main" id="{4839B08F-85F7-B3BC-552B-B844D6C0955D}"/>
              </a:ext>
            </a:extLst>
          </xdr:cNvPr>
          <xdr:cNvSpPr/>
        </xdr:nvSpPr>
        <xdr:spPr>
          <a:xfrm>
            <a:off x="6427720" y="2464593"/>
            <a:ext cx="5595938" cy="3530204"/>
          </a:xfrm>
          <a:prstGeom prst="roundRect">
            <a:avLst>
              <a:gd name="adj" fmla="val 460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94" name="Chart 93">
            <a:extLst>
              <a:ext uri="{FF2B5EF4-FFF2-40B4-BE49-F238E27FC236}">
                <a16:creationId xmlns:a16="http://schemas.microsoft.com/office/drawing/2014/main" id="{563DFCDA-177C-400B-86B6-7410EA8BEC4B}"/>
              </a:ext>
            </a:extLst>
          </xdr:cNvPr>
          <xdr:cNvGraphicFramePr>
            <a:graphicFrameLocks/>
          </xdr:cNvGraphicFramePr>
        </xdr:nvGraphicFramePr>
        <xdr:xfrm>
          <a:off x="6576551" y="2573260"/>
          <a:ext cx="5313164" cy="334268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17</xdr:col>
      <xdr:colOff>175846</xdr:colOff>
      <xdr:row>18</xdr:row>
      <xdr:rowOff>160420</xdr:rowOff>
    </xdr:from>
    <xdr:to>
      <xdr:col>23</xdr:col>
      <xdr:colOff>30079</xdr:colOff>
      <xdr:row>26</xdr:row>
      <xdr:rowOff>136071</xdr:rowOff>
    </xdr:to>
    <xdr:grpSp>
      <xdr:nvGrpSpPr>
        <xdr:cNvPr id="114" name="Group 113">
          <a:extLst>
            <a:ext uri="{FF2B5EF4-FFF2-40B4-BE49-F238E27FC236}">
              <a16:creationId xmlns:a16="http://schemas.microsoft.com/office/drawing/2014/main" id="{A38152D0-DD96-E3F9-6D2F-98360939A8FE}"/>
            </a:ext>
          </a:extLst>
        </xdr:cNvPr>
        <xdr:cNvGrpSpPr/>
      </xdr:nvGrpSpPr>
      <xdr:grpSpPr>
        <a:xfrm>
          <a:off x="11909542" y="3390637"/>
          <a:ext cx="3995537" cy="1411304"/>
          <a:chOff x="14620690" y="3084983"/>
          <a:chExt cx="4340975" cy="2603433"/>
        </a:xfrm>
      </xdr:grpSpPr>
      <xdr:sp macro="" textlink="">
        <xdr:nvSpPr>
          <xdr:cNvPr id="113" name="Rectangle: Rounded Corners 112">
            <a:extLst>
              <a:ext uri="{FF2B5EF4-FFF2-40B4-BE49-F238E27FC236}">
                <a16:creationId xmlns:a16="http://schemas.microsoft.com/office/drawing/2014/main" id="{B8187436-0672-60DF-A651-5F0C4E0A9FC7}"/>
              </a:ext>
            </a:extLst>
          </xdr:cNvPr>
          <xdr:cNvSpPr/>
        </xdr:nvSpPr>
        <xdr:spPr>
          <a:xfrm>
            <a:off x="14620690" y="3084983"/>
            <a:ext cx="4340975" cy="2603433"/>
          </a:xfrm>
          <a:prstGeom prst="roundRect">
            <a:avLst>
              <a:gd name="adj" fmla="val 545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08" name="Chart 107">
            <a:extLst>
              <a:ext uri="{FF2B5EF4-FFF2-40B4-BE49-F238E27FC236}">
                <a16:creationId xmlns:a16="http://schemas.microsoft.com/office/drawing/2014/main" id="{62A00E9B-FA80-4A44-91BD-7458FC92BC4B}"/>
              </a:ext>
            </a:extLst>
          </xdr:cNvPr>
          <xdr:cNvGraphicFramePr>
            <a:graphicFrameLocks/>
          </xdr:cNvGraphicFramePr>
        </xdr:nvGraphicFramePr>
        <xdr:xfrm>
          <a:off x="14676588" y="3138875"/>
          <a:ext cx="4210369" cy="2518589"/>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11</xdr:col>
      <xdr:colOff>588776</xdr:colOff>
      <xdr:row>26</xdr:row>
      <xdr:rowOff>174625</xdr:rowOff>
    </xdr:from>
    <xdr:to>
      <xdr:col>16</xdr:col>
      <xdr:colOff>349250</xdr:colOff>
      <xdr:row>37</xdr:row>
      <xdr:rowOff>95250</xdr:rowOff>
    </xdr:to>
    <xdr:grpSp>
      <xdr:nvGrpSpPr>
        <xdr:cNvPr id="118" name="Group 117">
          <a:extLst>
            <a:ext uri="{FF2B5EF4-FFF2-40B4-BE49-F238E27FC236}">
              <a16:creationId xmlns:a16="http://schemas.microsoft.com/office/drawing/2014/main" id="{1DB81A83-B40A-6C13-A19C-DCF1FDCF1686}"/>
            </a:ext>
          </a:extLst>
        </xdr:cNvPr>
        <xdr:cNvGrpSpPr/>
      </xdr:nvGrpSpPr>
      <xdr:grpSpPr>
        <a:xfrm>
          <a:off x="8181167" y="4840495"/>
          <a:ext cx="3211561" cy="1894646"/>
          <a:chOff x="16348226" y="5687850"/>
          <a:chExt cx="3850936" cy="3492218"/>
        </a:xfrm>
      </xdr:grpSpPr>
      <xdr:sp macro="" textlink="">
        <xdr:nvSpPr>
          <xdr:cNvPr id="117" name="Rectangle: Rounded Corners 116">
            <a:extLst>
              <a:ext uri="{FF2B5EF4-FFF2-40B4-BE49-F238E27FC236}">
                <a16:creationId xmlns:a16="http://schemas.microsoft.com/office/drawing/2014/main" id="{E2CD2D75-1239-C007-2B49-F360BE75CBB8}"/>
              </a:ext>
            </a:extLst>
          </xdr:cNvPr>
          <xdr:cNvSpPr/>
        </xdr:nvSpPr>
        <xdr:spPr>
          <a:xfrm>
            <a:off x="16348226" y="5687850"/>
            <a:ext cx="3850936" cy="3492218"/>
          </a:xfrm>
          <a:prstGeom prst="roundRect">
            <a:avLst>
              <a:gd name="adj" fmla="val 686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12" name="Chart 111">
            <a:extLst>
              <a:ext uri="{FF2B5EF4-FFF2-40B4-BE49-F238E27FC236}">
                <a16:creationId xmlns:a16="http://schemas.microsoft.com/office/drawing/2014/main" id="{5B3A09A6-AC08-4D11-9247-927A962D0CAE}"/>
              </a:ext>
            </a:extLst>
          </xdr:cNvPr>
          <xdr:cNvGraphicFramePr>
            <a:graphicFrameLocks/>
          </xdr:cNvGraphicFramePr>
        </xdr:nvGraphicFramePr>
        <xdr:xfrm>
          <a:off x="16515529" y="5795776"/>
          <a:ext cx="3510051" cy="33384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11</xdr:col>
      <xdr:colOff>595312</xdr:colOff>
      <xdr:row>21</xdr:row>
      <xdr:rowOff>132292</xdr:rowOff>
    </xdr:from>
    <xdr:to>
      <xdr:col>17</xdr:col>
      <xdr:colOff>130793</xdr:colOff>
      <xdr:row>26</xdr:row>
      <xdr:rowOff>126764</xdr:rowOff>
    </xdr:to>
    <xdr:grpSp>
      <xdr:nvGrpSpPr>
        <xdr:cNvPr id="116" name="Group 115">
          <a:extLst>
            <a:ext uri="{FF2B5EF4-FFF2-40B4-BE49-F238E27FC236}">
              <a16:creationId xmlns:a16="http://schemas.microsoft.com/office/drawing/2014/main" id="{5C4DD1B1-5B0D-38E0-E5CE-8302C3711DBC}"/>
            </a:ext>
          </a:extLst>
        </xdr:cNvPr>
        <xdr:cNvGrpSpPr/>
      </xdr:nvGrpSpPr>
      <xdr:grpSpPr>
        <a:xfrm>
          <a:off x="8187703" y="3900879"/>
          <a:ext cx="3676786" cy="891755"/>
          <a:chOff x="10984339" y="6075694"/>
          <a:chExt cx="5521806" cy="1226520"/>
        </a:xfrm>
      </xdr:grpSpPr>
      <xdr:sp macro="" textlink="">
        <xdr:nvSpPr>
          <xdr:cNvPr id="115" name="Rectangle: Rounded Corners 114">
            <a:extLst>
              <a:ext uri="{FF2B5EF4-FFF2-40B4-BE49-F238E27FC236}">
                <a16:creationId xmlns:a16="http://schemas.microsoft.com/office/drawing/2014/main" id="{A6A0C54F-AFD9-5751-40D4-27D51A747282}"/>
              </a:ext>
            </a:extLst>
          </xdr:cNvPr>
          <xdr:cNvSpPr/>
        </xdr:nvSpPr>
        <xdr:spPr>
          <a:xfrm>
            <a:off x="10984339" y="6075694"/>
            <a:ext cx="5521806" cy="1226520"/>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10" name="Chart 109">
            <a:extLst>
              <a:ext uri="{FF2B5EF4-FFF2-40B4-BE49-F238E27FC236}">
                <a16:creationId xmlns:a16="http://schemas.microsoft.com/office/drawing/2014/main" id="{90D97836-0BC0-4276-948A-6C21448EA2CF}"/>
              </a:ext>
            </a:extLst>
          </xdr:cNvPr>
          <xdr:cNvGraphicFramePr>
            <a:graphicFrameLocks/>
          </xdr:cNvGraphicFramePr>
        </xdr:nvGraphicFramePr>
        <xdr:xfrm>
          <a:off x="11052945" y="6150673"/>
          <a:ext cx="5384598" cy="110758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editAs="oneCell">
    <xdr:from>
      <xdr:col>22</xdr:col>
      <xdr:colOff>0</xdr:colOff>
      <xdr:row>6</xdr:row>
      <xdr:rowOff>144748</xdr:rowOff>
    </xdr:from>
    <xdr:to>
      <xdr:col>22</xdr:col>
      <xdr:colOff>527891</xdr:colOff>
      <xdr:row>9</xdr:row>
      <xdr:rowOff>83453</xdr:rowOff>
    </xdr:to>
    <xdr:pic>
      <xdr:nvPicPr>
        <xdr:cNvPr id="120" name="Picture 119">
          <a:extLst>
            <a:ext uri="{FF2B5EF4-FFF2-40B4-BE49-F238E27FC236}">
              <a16:creationId xmlns:a16="http://schemas.microsoft.com/office/drawing/2014/main" id="{B74380AB-D384-274E-5E35-09FAAE4C92FA}"/>
            </a:ext>
          </a:extLst>
        </xdr:cNvPr>
        <xdr:cNvPicPr>
          <a:picLocks noChangeAspect="1"/>
        </xdr:cNvPicPr>
      </xdr:nvPicPr>
      <xdr:blipFill>
        <a:blip xmlns:r="http://schemas.openxmlformats.org/officeDocument/2006/relationships" r:embed="rId12"/>
        <a:stretch>
          <a:fillRect/>
        </a:stretch>
      </xdr:blipFill>
      <xdr:spPr>
        <a:xfrm>
          <a:off x="13380904" y="1315290"/>
          <a:ext cx="527891" cy="523976"/>
        </a:xfrm>
        <a:prstGeom prst="rect">
          <a:avLst/>
        </a:prstGeom>
      </xdr:spPr>
    </xdr:pic>
    <xdr:clientData/>
  </xdr:twoCellAnchor>
  <xdr:twoCellAnchor editAs="oneCell">
    <xdr:from>
      <xdr:col>0</xdr:col>
      <xdr:colOff>265421</xdr:colOff>
      <xdr:row>4</xdr:row>
      <xdr:rowOff>25955</xdr:rowOff>
    </xdr:from>
    <xdr:to>
      <xdr:col>3</xdr:col>
      <xdr:colOff>317652</xdr:colOff>
      <xdr:row>9</xdr:row>
      <xdr:rowOff>159282</xdr:rowOff>
    </xdr:to>
    <mc:AlternateContent xmlns:mc="http://schemas.openxmlformats.org/markup-compatibility/2006" xmlns:a14="http://schemas.microsoft.com/office/drawing/2010/main">
      <mc:Choice Requires="a14">
        <xdr:graphicFrame macro="">
          <xdr:nvGraphicFramePr>
            <xdr:cNvPr id="122" name="Final Outcome 3">
              <a:extLst>
                <a:ext uri="{FF2B5EF4-FFF2-40B4-BE49-F238E27FC236}">
                  <a16:creationId xmlns:a16="http://schemas.microsoft.com/office/drawing/2014/main" id="{E4415D0C-CAF9-4321-86B3-6775C6D5A218}"/>
                </a:ext>
              </a:extLst>
            </xdr:cNvPr>
            <xdr:cNvGraphicFramePr/>
          </xdr:nvGraphicFramePr>
          <xdr:xfrm>
            <a:off x="0" y="0"/>
            <a:ext cx="0" cy="0"/>
          </xdr:xfrm>
          <a:graphic>
            <a:graphicData uri="http://schemas.microsoft.com/office/drawing/2010/slicer">
              <sle:slicer xmlns:sle="http://schemas.microsoft.com/office/drawing/2010/slicer" name="Final Outcome 3"/>
            </a:graphicData>
          </a:graphic>
        </xdr:graphicFrame>
      </mc:Choice>
      <mc:Fallback xmlns="">
        <xdr:sp macro="" textlink="">
          <xdr:nvSpPr>
            <xdr:cNvPr id="0" name=""/>
            <xdr:cNvSpPr>
              <a:spLocks noTextEdit="1"/>
            </xdr:cNvSpPr>
          </xdr:nvSpPr>
          <xdr:spPr>
            <a:xfrm>
              <a:off x="265421" y="808832"/>
              <a:ext cx="1891991" cy="1111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253248</xdr:colOff>
      <xdr:row>21</xdr:row>
      <xdr:rowOff>110779</xdr:rowOff>
    </xdr:from>
    <xdr:to>
      <xdr:col>3</xdr:col>
      <xdr:colOff>317500</xdr:colOff>
      <xdr:row>31</xdr:row>
      <xdr:rowOff>72975</xdr:rowOff>
    </xdr:to>
    <mc:AlternateContent xmlns:mc="http://schemas.openxmlformats.org/markup-compatibility/2006" xmlns:a14="http://schemas.microsoft.com/office/drawing/2010/main">
      <mc:Choice Requires="a14">
        <xdr:graphicFrame macro="">
          <xdr:nvGraphicFramePr>
            <xdr:cNvPr id="126" name="Age Group 2">
              <a:extLst>
                <a:ext uri="{FF2B5EF4-FFF2-40B4-BE49-F238E27FC236}">
                  <a16:creationId xmlns:a16="http://schemas.microsoft.com/office/drawing/2014/main" id="{4E9A5FA5-4304-4D64-8E40-7C54E88F75AD}"/>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mlns="">
        <xdr:sp macro="" textlink="">
          <xdr:nvSpPr>
            <xdr:cNvPr id="0" name=""/>
            <xdr:cNvSpPr>
              <a:spLocks noTextEdit="1"/>
            </xdr:cNvSpPr>
          </xdr:nvSpPr>
          <xdr:spPr>
            <a:xfrm>
              <a:off x="253248" y="4220882"/>
              <a:ext cx="1904012" cy="1919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591090</xdr:colOff>
      <xdr:row>1</xdr:row>
      <xdr:rowOff>61057</xdr:rowOff>
    </xdr:from>
    <xdr:to>
      <xdr:col>5</xdr:col>
      <xdr:colOff>146535</xdr:colOff>
      <xdr:row>4</xdr:row>
      <xdr:rowOff>85481</xdr:rowOff>
    </xdr:to>
    <xdr:pic>
      <xdr:nvPicPr>
        <xdr:cNvPr id="9" name="Picture 8">
          <a:extLst>
            <a:ext uri="{FF2B5EF4-FFF2-40B4-BE49-F238E27FC236}">
              <a16:creationId xmlns:a16="http://schemas.microsoft.com/office/drawing/2014/main" id="{F0C57046-1F4D-F4A1-8208-D4166668D53D}"/>
            </a:ext>
          </a:extLst>
        </xdr:cNvPr>
        <xdr:cNvPicPr>
          <a:picLocks noChangeAspect="1"/>
        </xdr:cNvPicPr>
      </xdr:nvPicPr>
      <xdr:blipFill>
        <a:blip xmlns:r="http://schemas.openxmlformats.org/officeDocument/2006/relationships" r:embed="rId13"/>
        <a:stretch>
          <a:fillRect/>
        </a:stretch>
      </xdr:blipFill>
      <xdr:spPr>
        <a:xfrm flipH="1">
          <a:off x="2422821" y="256442"/>
          <a:ext cx="776599" cy="610577"/>
        </a:xfrm>
        <a:prstGeom prst="rect">
          <a:avLst/>
        </a:prstGeom>
      </xdr:spPr>
    </xdr:pic>
    <xdr:clientData/>
  </xdr:twoCellAnchor>
  <xdr:twoCellAnchor>
    <xdr:from>
      <xdr:col>0</xdr:col>
      <xdr:colOff>289152</xdr:colOff>
      <xdr:row>1</xdr:row>
      <xdr:rowOff>49481</xdr:rowOff>
    </xdr:from>
    <xdr:to>
      <xdr:col>3</xdr:col>
      <xdr:colOff>289153</xdr:colOff>
      <xdr:row>3</xdr:row>
      <xdr:rowOff>117516</xdr:rowOff>
    </xdr:to>
    <xdr:sp macro="" textlink="">
      <xdr:nvSpPr>
        <xdr:cNvPr id="11" name="Rectangle: Rounded Corners 10">
          <a:extLst>
            <a:ext uri="{FF2B5EF4-FFF2-40B4-BE49-F238E27FC236}">
              <a16:creationId xmlns:a16="http://schemas.microsoft.com/office/drawing/2014/main" id="{CB814579-2BDE-69FE-9F66-9CBB6B277CB0}"/>
            </a:ext>
          </a:extLst>
        </xdr:cNvPr>
        <xdr:cNvSpPr/>
      </xdr:nvSpPr>
      <xdr:spPr>
        <a:xfrm>
          <a:off x="289152" y="235033"/>
          <a:ext cx="1818410" cy="4391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Slicer</a:t>
          </a:r>
          <a:r>
            <a:rPr lang="en-US" sz="1800" b="1" baseline="0">
              <a:solidFill>
                <a:schemeClr val="bg1"/>
              </a:solidFill>
            </a:rPr>
            <a:t> Panel</a:t>
          </a:r>
          <a:endParaRPr lang="en-US" sz="1800" b="1">
            <a:solidFill>
              <a:schemeClr val="bg1"/>
            </a:solidFill>
          </a:endParaRPr>
        </a:p>
      </xdr:txBody>
    </xdr:sp>
    <xdr:clientData/>
  </xdr:twoCellAnchor>
  <xdr:twoCellAnchor>
    <xdr:from>
      <xdr:col>16</xdr:col>
      <xdr:colOff>396875</xdr:colOff>
      <xdr:row>27</xdr:row>
      <xdr:rowOff>0</xdr:rowOff>
    </xdr:from>
    <xdr:to>
      <xdr:col>23</xdr:col>
      <xdr:colOff>25978</xdr:colOff>
      <xdr:row>37</xdr:row>
      <xdr:rowOff>98051</xdr:rowOff>
    </xdr:to>
    <xdr:sp macro="" textlink="">
      <xdr:nvSpPr>
        <xdr:cNvPr id="12" name="Rectangle: Rounded Corners 11">
          <a:extLst>
            <a:ext uri="{FF2B5EF4-FFF2-40B4-BE49-F238E27FC236}">
              <a16:creationId xmlns:a16="http://schemas.microsoft.com/office/drawing/2014/main" id="{9B934093-2924-97C8-BEE6-DAEC3AFBAAE9}"/>
            </a:ext>
          </a:extLst>
        </xdr:cNvPr>
        <xdr:cNvSpPr/>
      </xdr:nvSpPr>
      <xdr:spPr>
        <a:xfrm>
          <a:off x="10258051" y="5294779"/>
          <a:ext cx="3943368" cy="2059081"/>
        </a:xfrm>
        <a:prstGeom prst="roundRect">
          <a:avLst>
            <a:gd name="adj" fmla="val 64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27</xdr:col>
      <xdr:colOff>524847</xdr:colOff>
      <xdr:row>31</xdr:row>
      <xdr:rowOff>136072</xdr:rowOff>
    </xdr:from>
    <xdr:ext cx="184731" cy="264560"/>
    <xdr:sp macro="" textlink="">
      <xdr:nvSpPr>
        <xdr:cNvPr id="13" name="TextBox 12">
          <a:extLst>
            <a:ext uri="{FF2B5EF4-FFF2-40B4-BE49-F238E27FC236}">
              <a16:creationId xmlns:a16="http://schemas.microsoft.com/office/drawing/2014/main" id="{AA39227A-1F73-B593-DB9E-F585797AADA5}"/>
            </a:ext>
          </a:extLst>
        </xdr:cNvPr>
        <xdr:cNvSpPr txBox="1"/>
      </xdr:nvSpPr>
      <xdr:spPr>
        <a:xfrm>
          <a:off x="16795102" y="616209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16</xdr:col>
      <xdr:colOff>476250</xdr:colOff>
      <xdr:row>27</xdr:row>
      <xdr:rowOff>42021</xdr:rowOff>
    </xdr:from>
    <xdr:to>
      <xdr:col>22</xdr:col>
      <xdr:colOff>574302</xdr:colOff>
      <xdr:row>37</xdr:row>
      <xdr:rowOff>56029</xdr:rowOff>
    </xdr:to>
    <xdr:sp macro="" textlink="">
      <xdr:nvSpPr>
        <xdr:cNvPr id="14" name="TextBox 13">
          <a:extLst>
            <a:ext uri="{FF2B5EF4-FFF2-40B4-BE49-F238E27FC236}">
              <a16:creationId xmlns:a16="http://schemas.microsoft.com/office/drawing/2014/main" id="{13F25E18-246A-F49C-0109-AB0E43A11E44}"/>
            </a:ext>
          </a:extLst>
        </xdr:cNvPr>
        <xdr:cNvSpPr txBox="1"/>
      </xdr:nvSpPr>
      <xdr:spPr>
        <a:xfrm>
          <a:off x="10337426" y="5336800"/>
          <a:ext cx="3795994" cy="19750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Recommendations:</a:t>
          </a:r>
        </a:p>
        <a:p>
          <a:r>
            <a:rPr lang="en-US" sz="1200" b="1">
              <a:solidFill>
                <a:srgbClr val="7030A0"/>
              </a:solidFill>
            </a:rPr>
            <a:t>1. Over half of the total patients analyzed are affected by dengue—indicating a critical public health issue.</a:t>
          </a:r>
        </a:p>
        <a:p>
          <a:pPr algn="l"/>
          <a:r>
            <a:rPr lang="en-US" sz="1200" b="1">
              <a:solidFill>
                <a:srgbClr val="7030A0"/>
              </a:solidFill>
            </a:rPr>
            <a:t>2. Jatrabari, Demra, and Tikatuli show the highest number of cases, suggesting targeted vector control and awareness campaigns are urgently needed in these zones.</a:t>
          </a:r>
        </a:p>
        <a:p>
          <a:r>
            <a:rPr lang="en-US" sz="1100" b="1">
              <a:solidFill>
                <a:srgbClr val="7030A0"/>
              </a:solidFill>
            </a:rPr>
            <a:t>3. </a:t>
          </a:r>
          <a:r>
            <a:rPr lang="en-US" sz="1200" b="1">
              <a:solidFill>
                <a:srgbClr val="7030A0"/>
              </a:solidFill>
            </a:rPr>
            <a:t>Middle-aged adults (30–60 years) are most affected (24%), followed by young adults (19–29 years) (14%). </a:t>
          </a:r>
          <a:endParaRPr lang="en-US" sz="1600" b="1">
            <a:solidFill>
              <a:srgbClr val="7030A0"/>
            </a:solidFill>
          </a:endParaRPr>
        </a:p>
      </xdr:txBody>
    </xdr:sp>
    <xdr:clientData/>
  </xdr:twoCellAnchor>
  <xdr:twoCellAnchor editAs="oneCell">
    <xdr:from>
      <xdr:col>16</xdr:col>
      <xdr:colOff>560294</xdr:colOff>
      <xdr:row>0</xdr:row>
      <xdr:rowOff>168088</xdr:rowOff>
    </xdr:from>
    <xdr:to>
      <xdr:col>18</xdr:col>
      <xdr:colOff>294154</xdr:colOff>
      <xdr:row>4</xdr:row>
      <xdr:rowOff>98052</xdr:rowOff>
    </xdr:to>
    <xdr:pic>
      <xdr:nvPicPr>
        <xdr:cNvPr id="17" name="Graphic 16" descr="City with solid fill">
          <a:extLst>
            <a:ext uri="{FF2B5EF4-FFF2-40B4-BE49-F238E27FC236}">
              <a16:creationId xmlns:a16="http://schemas.microsoft.com/office/drawing/2014/main" id="{64F60F09-84E5-8282-23B3-DD2A026ADFF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421470" y="168088"/>
          <a:ext cx="966508" cy="714376"/>
        </a:xfrm>
        <a:prstGeom prst="rect">
          <a:avLst/>
        </a:prstGeom>
      </xdr:spPr>
    </xdr:pic>
    <xdr:clientData/>
  </xdr:twoCellAnchor>
  <xdr:twoCellAnchor editAs="oneCell">
    <xdr:from>
      <xdr:col>0</xdr:col>
      <xdr:colOff>267258</xdr:colOff>
      <xdr:row>10</xdr:row>
      <xdr:rowOff>35421</xdr:rowOff>
    </xdr:from>
    <xdr:to>
      <xdr:col>3</xdr:col>
      <xdr:colOff>317500</xdr:colOff>
      <xdr:row>21</xdr:row>
      <xdr:rowOff>48649</xdr:rowOff>
    </xdr:to>
    <mc:AlternateContent xmlns:mc="http://schemas.openxmlformats.org/markup-compatibility/2006" xmlns:a14="http://schemas.microsoft.com/office/drawing/2010/main">
      <mc:Choice Requires="a14">
        <xdr:graphicFrame macro="">
          <xdr:nvGraphicFramePr>
            <xdr:cNvPr id="26" name="Area 2">
              <a:extLst>
                <a:ext uri="{FF2B5EF4-FFF2-40B4-BE49-F238E27FC236}">
                  <a16:creationId xmlns:a16="http://schemas.microsoft.com/office/drawing/2014/main" id="{4B3FDE61-F937-4CC2-9A95-DDB10C9E03B9}"/>
                </a:ext>
              </a:extLst>
            </xdr:cNvPr>
            <xdr:cNvGraphicFramePr/>
          </xdr:nvGraphicFramePr>
          <xdr:xfrm>
            <a:off x="0" y="0"/>
            <a:ext cx="0" cy="0"/>
          </xdr:xfrm>
          <a:graphic>
            <a:graphicData uri="http://schemas.microsoft.com/office/drawing/2010/slicer">
              <sle:slicer xmlns:sle="http://schemas.microsoft.com/office/drawing/2010/slicer" name="Area 2"/>
            </a:graphicData>
          </a:graphic>
        </xdr:graphicFrame>
      </mc:Choice>
      <mc:Fallback xmlns="">
        <xdr:sp macro="" textlink="">
          <xdr:nvSpPr>
            <xdr:cNvPr id="0" name=""/>
            <xdr:cNvSpPr>
              <a:spLocks noTextEdit="1"/>
            </xdr:cNvSpPr>
          </xdr:nvSpPr>
          <xdr:spPr>
            <a:xfrm>
              <a:off x="267258" y="1992613"/>
              <a:ext cx="1890002" cy="2166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276531</xdr:colOff>
      <xdr:row>31</xdr:row>
      <xdr:rowOff>114498</xdr:rowOff>
    </xdr:from>
    <xdr:to>
      <xdr:col>3</xdr:col>
      <xdr:colOff>322620</xdr:colOff>
      <xdr:row>37</xdr:row>
      <xdr:rowOff>62923</xdr:rowOff>
    </xdr:to>
    <mc:AlternateContent xmlns:mc="http://schemas.openxmlformats.org/markup-compatibility/2006" xmlns:a14="http://schemas.microsoft.com/office/drawing/2010/main">
      <mc:Choice Requires="a14">
        <xdr:graphicFrame macro="">
          <xdr:nvGraphicFramePr>
            <xdr:cNvPr id="28" name="AreaType 1">
              <a:extLst>
                <a:ext uri="{FF2B5EF4-FFF2-40B4-BE49-F238E27FC236}">
                  <a16:creationId xmlns:a16="http://schemas.microsoft.com/office/drawing/2014/main" id="{2329B698-D8D6-4DE9-A21F-18BB0708E041}"/>
                </a:ext>
              </a:extLst>
            </xdr:cNvPr>
            <xdr:cNvGraphicFramePr/>
          </xdr:nvGraphicFramePr>
          <xdr:xfrm>
            <a:off x="0" y="0"/>
            <a:ext cx="0" cy="0"/>
          </xdr:xfrm>
          <a:graphic>
            <a:graphicData uri="http://schemas.microsoft.com/office/drawing/2010/slicer">
              <sle:slicer xmlns:sle="http://schemas.microsoft.com/office/drawing/2010/slicer" name="AreaType 1"/>
            </a:graphicData>
          </a:graphic>
        </xdr:graphicFrame>
      </mc:Choice>
      <mc:Fallback xmlns="">
        <xdr:sp macro="" textlink="">
          <xdr:nvSpPr>
            <xdr:cNvPr id="0" name=""/>
            <xdr:cNvSpPr>
              <a:spLocks noTextEdit="1"/>
            </xdr:cNvSpPr>
          </xdr:nvSpPr>
          <xdr:spPr>
            <a:xfrm>
              <a:off x="276531" y="6181793"/>
              <a:ext cx="1885849" cy="1122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911019</xdr:colOff>
      <xdr:row>30</xdr:row>
      <xdr:rowOff>12270</xdr:rowOff>
    </xdr:from>
    <xdr:to>
      <xdr:col>3</xdr:col>
      <xdr:colOff>1211035</xdr:colOff>
      <xdr:row>41</xdr:row>
      <xdr:rowOff>95250</xdr:rowOff>
    </xdr:to>
    <xdr:graphicFrame macro="">
      <xdr:nvGraphicFramePr>
        <xdr:cNvPr id="2" name="Chart 1">
          <a:extLst>
            <a:ext uri="{FF2B5EF4-FFF2-40B4-BE49-F238E27FC236}">
              <a16:creationId xmlns:a16="http://schemas.microsoft.com/office/drawing/2014/main" id="{E9CAF42A-C93A-A568-5295-E1E743A2A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242207</xdr:colOff>
      <xdr:row>6</xdr:row>
      <xdr:rowOff>129268</xdr:rowOff>
    </xdr:from>
    <xdr:to>
      <xdr:col>4</xdr:col>
      <xdr:colOff>819150</xdr:colOff>
      <xdr:row>20</xdr:row>
      <xdr:rowOff>129268</xdr:rowOff>
    </xdr:to>
    <mc:AlternateContent xmlns:mc="http://schemas.openxmlformats.org/markup-compatibility/2006" xmlns:a14="http://schemas.microsoft.com/office/drawing/2010/main">
      <mc:Choice Requires="a14">
        <xdr:graphicFrame macro="">
          <xdr:nvGraphicFramePr>
            <xdr:cNvPr id="4" name="Area 1">
              <a:extLst>
                <a:ext uri="{FF2B5EF4-FFF2-40B4-BE49-F238E27FC236}">
                  <a16:creationId xmlns:a16="http://schemas.microsoft.com/office/drawing/2014/main" id="{3812C470-DEF3-8226-C609-35294ADE55CE}"/>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4147457" y="1272268"/>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527957</xdr:colOff>
      <xdr:row>12</xdr:row>
      <xdr:rowOff>142875</xdr:rowOff>
    </xdr:from>
    <xdr:to>
      <xdr:col>7</xdr:col>
      <xdr:colOff>1172936</xdr:colOff>
      <xdr:row>18</xdr:row>
      <xdr:rowOff>54429</xdr:rowOff>
    </xdr:to>
    <mc:AlternateContent xmlns:mc="http://schemas.openxmlformats.org/markup-compatibility/2006" xmlns:a14="http://schemas.microsoft.com/office/drawing/2010/main">
      <mc:Choice Requires="a14">
        <xdr:graphicFrame macro="">
          <xdr:nvGraphicFramePr>
            <xdr:cNvPr id="5" name="AreaType">
              <a:extLst>
                <a:ext uri="{FF2B5EF4-FFF2-40B4-BE49-F238E27FC236}">
                  <a16:creationId xmlns:a16="http://schemas.microsoft.com/office/drawing/2014/main" id="{51DF3D04-14A1-3856-2F84-4857E1679DBE}"/>
                </a:ext>
              </a:extLst>
            </xdr:cNvPr>
            <xdr:cNvGraphicFramePr/>
          </xdr:nvGraphicFramePr>
          <xdr:xfrm>
            <a:off x="0" y="0"/>
            <a:ext cx="0" cy="0"/>
          </xdr:xfrm>
          <a:graphic>
            <a:graphicData uri="http://schemas.microsoft.com/office/drawing/2010/slicer">
              <sle:slicer xmlns:sle="http://schemas.microsoft.com/office/drawing/2010/slicer" name="AreaType"/>
            </a:graphicData>
          </a:graphic>
        </xdr:graphicFrame>
      </mc:Choice>
      <mc:Fallback xmlns="">
        <xdr:sp macro="" textlink="">
          <xdr:nvSpPr>
            <xdr:cNvPr id="0" name=""/>
            <xdr:cNvSpPr>
              <a:spLocks noTextEdit="1"/>
            </xdr:cNvSpPr>
          </xdr:nvSpPr>
          <xdr:spPr>
            <a:xfrm>
              <a:off x="8120743" y="2428875"/>
              <a:ext cx="1828800" cy="1054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377737</xdr:colOff>
      <xdr:row>2</xdr:row>
      <xdr:rowOff>39639</xdr:rowOff>
    </xdr:from>
    <xdr:to>
      <xdr:col>10</xdr:col>
      <xdr:colOff>599722</xdr:colOff>
      <xdr:row>16</xdr:row>
      <xdr:rowOff>152870</xdr:rowOff>
    </xdr:to>
    <xdr:graphicFrame macro="">
      <xdr:nvGraphicFramePr>
        <xdr:cNvPr id="6" name="Chart 5">
          <a:extLst>
            <a:ext uri="{FF2B5EF4-FFF2-40B4-BE49-F238E27FC236}">
              <a16:creationId xmlns:a16="http://schemas.microsoft.com/office/drawing/2014/main" id="{EBD03A77-1AA7-F85A-DCE6-3D838FA17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478430</xdr:colOff>
      <xdr:row>18</xdr:row>
      <xdr:rowOff>58152</xdr:rowOff>
    </xdr:from>
    <xdr:to>
      <xdr:col>9</xdr:col>
      <xdr:colOff>175528</xdr:colOff>
      <xdr:row>32</xdr:row>
      <xdr:rowOff>164983</xdr:rowOff>
    </xdr:to>
    <xdr:graphicFrame macro="">
      <xdr:nvGraphicFramePr>
        <xdr:cNvPr id="11" name="Chart 10">
          <a:extLst>
            <a:ext uri="{FF2B5EF4-FFF2-40B4-BE49-F238E27FC236}">
              <a16:creationId xmlns:a16="http://schemas.microsoft.com/office/drawing/2014/main" id="{519E0F93-FB42-9AD0-02C5-964473F02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752990</xdr:colOff>
      <xdr:row>13</xdr:row>
      <xdr:rowOff>10813</xdr:rowOff>
    </xdr:from>
    <xdr:to>
      <xdr:col>1</xdr:col>
      <xdr:colOff>397978</xdr:colOff>
      <xdr:row>17</xdr:row>
      <xdr:rowOff>128716</xdr:rowOff>
    </xdr:to>
    <mc:AlternateContent xmlns:mc="http://schemas.openxmlformats.org/markup-compatibility/2006" xmlns:a14="http://schemas.microsoft.com/office/drawing/2010/main">
      <mc:Choice Requires="a14">
        <xdr:graphicFrame macro="">
          <xdr:nvGraphicFramePr>
            <xdr:cNvPr id="12" name="Final Outcome 2">
              <a:extLst>
                <a:ext uri="{FF2B5EF4-FFF2-40B4-BE49-F238E27FC236}">
                  <a16:creationId xmlns:a16="http://schemas.microsoft.com/office/drawing/2014/main" id="{8DBA051C-0D20-ACA5-CA3A-09A99D74EBB4}"/>
                </a:ext>
              </a:extLst>
            </xdr:cNvPr>
            <xdr:cNvGraphicFramePr/>
          </xdr:nvGraphicFramePr>
          <xdr:xfrm>
            <a:off x="0" y="0"/>
            <a:ext cx="0" cy="0"/>
          </xdr:xfrm>
          <a:graphic>
            <a:graphicData uri="http://schemas.microsoft.com/office/drawing/2010/slicer">
              <sle:slicer xmlns:sle="http://schemas.microsoft.com/office/drawing/2010/slicer" name="Final Outcome 2"/>
            </a:graphicData>
          </a:graphic>
        </xdr:graphicFrame>
      </mc:Choice>
      <mc:Fallback xmlns="">
        <xdr:sp macro="" textlink="">
          <xdr:nvSpPr>
            <xdr:cNvPr id="0" name=""/>
            <xdr:cNvSpPr>
              <a:spLocks noTextEdit="1"/>
            </xdr:cNvSpPr>
          </xdr:nvSpPr>
          <xdr:spPr>
            <a:xfrm>
              <a:off x="752990" y="2529288"/>
              <a:ext cx="1824437" cy="892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83664</xdr:colOff>
      <xdr:row>9</xdr:row>
      <xdr:rowOff>75170</xdr:rowOff>
    </xdr:from>
    <xdr:to>
      <xdr:col>14</xdr:col>
      <xdr:colOff>321789</xdr:colOff>
      <xdr:row>23</xdr:row>
      <xdr:rowOff>51488</xdr:rowOff>
    </xdr:to>
    <mc:AlternateContent xmlns:mc="http://schemas.openxmlformats.org/markup-compatibility/2006" xmlns:a14="http://schemas.microsoft.com/office/drawing/2010/main">
      <mc:Choice Requires="a14">
        <xdr:graphicFrame macro="">
          <xdr:nvGraphicFramePr>
            <xdr:cNvPr id="13" name="Area">
              <a:extLst>
                <a:ext uri="{FF2B5EF4-FFF2-40B4-BE49-F238E27FC236}">
                  <a16:creationId xmlns:a16="http://schemas.microsoft.com/office/drawing/2014/main" id="{5DF9A932-1397-8D5E-5B98-2B7924236C59}"/>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9511800" y="1818729"/>
              <a:ext cx="2078549" cy="2688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397475</xdr:colOff>
      <xdr:row>11</xdr:row>
      <xdr:rowOff>18535</xdr:rowOff>
    </xdr:from>
    <xdr:to>
      <xdr:col>3</xdr:col>
      <xdr:colOff>999762</xdr:colOff>
      <xdr:row>20</xdr:row>
      <xdr:rowOff>90102</xdr:rowOff>
    </xdr:to>
    <mc:AlternateContent xmlns:mc="http://schemas.openxmlformats.org/markup-compatibility/2006" xmlns:a14="http://schemas.microsoft.com/office/drawing/2010/main">
      <mc:Choice Requires="a14">
        <xdr:graphicFrame macro="">
          <xdr:nvGraphicFramePr>
            <xdr:cNvPr id="14" name="Age Group 1">
              <a:extLst>
                <a:ext uri="{FF2B5EF4-FFF2-40B4-BE49-F238E27FC236}">
                  <a16:creationId xmlns:a16="http://schemas.microsoft.com/office/drawing/2014/main" id="{F95C4C77-65A8-4DED-AA8A-5CFBE9122328}"/>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2915950" y="2149552"/>
              <a:ext cx="1829236" cy="1815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14</xdr:row>
      <xdr:rowOff>71437</xdr:rowOff>
    </xdr:from>
    <xdr:to>
      <xdr:col>9</xdr:col>
      <xdr:colOff>571500</xdr:colOff>
      <xdr:row>24</xdr:row>
      <xdr:rowOff>180975</xdr:rowOff>
    </xdr:to>
    <xdr:graphicFrame macro="">
      <xdr:nvGraphicFramePr>
        <xdr:cNvPr id="2" name="Chart 1">
          <a:extLst>
            <a:ext uri="{FF2B5EF4-FFF2-40B4-BE49-F238E27FC236}">
              <a16:creationId xmlns:a16="http://schemas.microsoft.com/office/drawing/2014/main" id="{C3C6133D-8BA1-C62B-92F5-B43C34044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95250</xdr:colOff>
      <xdr:row>0</xdr:row>
      <xdr:rowOff>166688</xdr:rowOff>
    </xdr:from>
    <xdr:to>
      <xdr:col>9</xdr:col>
      <xdr:colOff>466725</xdr:colOff>
      <xdr:row>10</xdr:row>
      <xdr:rowOff>66675</xdr:rowOff>
    </xdr:to>
    <xdr:graphicFrame macro="">
      <xdr:nvGraphicFramePr>
        <xdr:cNvPr id="3" name="Chart 2">
          <a:extLst>
            <a:ext uri="{FF2B5EF4-FFF2-40B4-BE49-F238E27FC236}">
              <a16:creationId xmlns:a16="http://schemas.microsoft.com/office/drawing/2014/main" id="{4E14DCFA-94A7-D9BF-4B34-9A9589538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33539</xdr:colOff>
      <xdr:row>5</xdr:row>
      <xdr:rowOff>121946</xdr:rowOff>
    </xdr:from>
    <xdr:to>
      <xdr:col>16</xdr:col>
      <xdr:colOff>51247</xdr:colOff>
      <xdr:row>19</xdr:row>
      <xdr:rowOff>159510</xdr:rowOff>
    </xdr:to>
    <mc:AlternateContent xmlns:mc="http://schemas.openxmlformats.org/markup-compatibility/2006" xmlns:a14="http://schemas.microsoft.com/office/drawing/2010/main">
      <mc:Choice Requires="a14">
        <xdr:graphicFrame macro="">
          <xdr:nvGraphicFramePr>
            <xdr:cNvPr id="4" name="Age Group">
              <a:extLst>
                <a:ext uri="{FF2B5EF4-FFF2-40B4-BE49-F238E27FC236}">
                  <a16:creationId xmlns:a16="http://schemas.microsoft.com/office/drawing/2014/main" id="{C43ECB4B-201C-1389-C450-FC288C76361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867095" y="1061031"/>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206675</xdr:colOff>
      <xdr:row>2</xdr:row>
      <xdr:rowOff>92176</xdr:rowOff>
    </xdr:from>
    <xdr:to>
      <xdr:col>9</xdr:col>
      <xdr:colOff>404363</xdr:colOff>
      <xdr:row>7</xdr:row>
      <xdr:rowOff>17972</xdr:rowOff>
    </xdr:to>
    <xdr:graphicFrame macro="">
      <xdr:nvGraphicFramePr>
        <xdr:cNvPr id="2" name="Chart 1">
          <a:extLst>
            <a:ext uri="{FF2B5EF4-FFF2-40B4-BE49-F238E27FC236}">
              <a16:creationId xmlns:a16="http://schemas.microsoft.com/office/drawing/2014/main" id="{7E6193E7-B5DF-F747-472E-1F60E8FBC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137443</xdr:colOff>
      <xdr:row>9</xdr:row>
      <xdr:rowOff>153629</xdr:rowOff>
    </xdr:from>
    <xdr:to>
      <xdr:col>13</xdr:col>
      <xdr:colOff>294324</xdr:colOff>
      <xdr:row>17</xdr:row>
      <xdr:rowOff>112660</xdr:rowOff>
    </xdr:to>
    <xdr:graphicFrame macro="">
      <xdr:nvGraphicFramePr>
        <xdr:cNvPr id="4" name="Chart 3">
          <a:extLst>
            <a:ext uri="{FF2B5EF4-FFF2-40B4-BE49-F238E27FC236}">
              <a16:creationId xmlns:a16="http://schemas.microsoft.com/office/drawing/2014/main" id="{0574DC72-854B-76CA-BADF-E0FE4A929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am rahaman" refreshedDate="45821.448656365741" createdVersion="8" refreshedVersion="8" minRefreshableVersion="3" recordCount="1000" xr:uid="{78CC5D13-3BEF-4C39-8EE8-86229019A94C}">
  <cacheSource type="worksheet">
    <worksheetSource ref="A1:J1001" sheet="dataset"/>
  </cacheSource>
  <cacheFields count="10">
    <cacheField name="Gender" numFmtId="0">
      <sharedItems/>
    </cacheField>
    <cacheField name="Age" numFmtId="0">
      <sharedItems containsSemiMixedTypes="0" containsString="0" containsNumber="1" containsInteger="1" minValue="8" maxValue="65"/>
    </cacheField>
    <cacheField name="NS1" numFmtId="0">
      <sharedItems containsSemiMixedTypes="0" containsString="0" containsNumber="1" containsInteger="1" minValue="0" maxValue="1"/>
    </cacheField>
    <cacheField name="IgG" numFmtId="0">
      <sharedItems containsSemiMixedTypes="0" containsString="0" containsNumber="1" containsInteger="1" minValue="0" maxValue="1"/>
    </cacheField>
    <cacheField name="IgM" numFmtId="0">
      <sharedItems containsSemiMixedTypes="0" containsString="0" containsNumber="1" containsInteger="1" minValue="0" maxValue="1"/>
    </cacheField>
    <cacheField name="Area" numFmtId="0">
      <sharedItems count="36">
        <s v="Mirpur"/>
        <s v="Chawkbazar"/>
        <s v="Paltan"/>
        <s v="Motijheel"/>
        <s v="Gendaria"/>
        <s v="Dhanmondi"/>
        <s v="New Market"/>
        <s v="Sher-e-Bangla Nagar"/>
        <s v="Kafrul"/>
        <s v="Pallabi"/>
        <s v="Mohammadpur"/>
        <s v="Shahbagh"/>
        <s v="Shyampur"/>
        <s v="Kalabagan"/>
        <s v="Bosila"/>
        <s v="Jatrabari"/>
        <s v="Adabor"/>
        <s v="Kamrangirchar"/>
        <s v="Biman Bandar"/>
        <s v="Ramna"/>
        <s v="Badda"/>
        <s v="Bangshal"/>
        <s v="Sabujbagh"/>
        <s v="Hazaribagh"/>
        <s v="Sutrapur"/>
        <s v="Lalbagh"/>
        <s v="Demra"/>
        <s v="Banasree"/>
        <s v="Cantonment"/>
        <s v="Keraniganj"/>
        <s v="Tejgaon"/>
        <s v="Khilkhet"/>
        <s v="Kadamtali"/>
        <s v="Gulshan"/>
        <s v="Rampura"/>
        <s v="Khilgaon"/>
      </sharedItems>
    </cacheField>
    <cacheField name="AreaType" numFmtId="0">
      <sharedItems/>
    </cacheField>
    <cacheField name="HouseType" numFmtId="0">
      <sharedItems/>
    </cacheField>
    <cacheField name="District" numFmtId="0">
      <sharedItems/>
    </cacheField>
    <cacheField name="Outcome"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21451563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am rahaman" refreshedDate="45821.783580902775" createdVersion="8" refreshedVersion="8" minRefreshableVersion="3" recordCount="1000" xr:uid="{77D21BF4-BD6F-4AAF-9747-AE1A6DA5DD3E}">
  <cacheSource type="worksheet">
    <worksheetSource ref="A1:L1001" sheet="dataset"/>
  </cacheSource>
  <cacheFields count="12">
    <cacheField name="Gender" numFmtId="0">
      <sharedItems count="2">
        <s v="Female"/>
        <s v="Male"/>
      </sharedItems>
    </cacheField>
    <cacheField name="Age" numFmtId="0">
      <sharedItems containsSemiMixedTypes="0" containsString="0" containsNumber="1" containsInteger="1" minValue="8" maxValue="65"/>
    </cacheField>
    <cacheField name="NS1" numFmtId="0">
      <sharedItems containsSemiMixedTypes="0" containsString="0" containsNumber="1" containsInteger="1" minValue="0" maxValue="1"/>
    </cacheField>
    <cacheField name="IgG" numFmtId="0">
      <sharedItems containsSemiMixedTypes="0" containsString="0" containsNumber="1" containsInteger="1" minValue="0" maxValue="1"/>
    </cacheField>
    <cacheField name="IgM" numFmtId="0">
      <sharedItems containsSemiMixedTypes="0" containsString="0" containsNumber="1" containsInteger="1" minValue="0" maxValue="1"/>
    </cacheField>
    <cacheField name="Area" numFmtId="0">
      <sharedItems count="36">
        <s v="Mirpur"/>
        <s v="Chawkbazar"/>
        <s v="Paltan"/>
        <s v="Motijheel"/>
        <s v="Gendaria"/>
        <s v="Dhanmondi"/>
        <s v="New Market"/>
        <s v="Sher-e-Bangla Nagar"/>
        <s v="Kafrul"/>
        <s v="Pallabi"/>
        <s v="Mohammadpur"/>
        <s v="Shahbagh"/>
        <s v="Shyampur"/>
        <s v="Kalabagan"/>
        <s v="Bosila"/>
        <s v="Jatrabari"/>
        <s v="Adabor"/>
        <s v="Kamrangirchar"/>
        <s v="Biman Bandar"/>
        <s v="Ramna"/>
        <s v="Badda"/>
        <s v="Bangshal"/>
        <s v="Sabujbagh"/>
        <s v="Hazaribagh"/>
        <s v="Sutrapur"/>
        <s v="Lalbagh"/>
        <s v="Demra"/>
        <s v="Banasree"/>
        <s v="Cantonment"/>
        <s v="Keraniganj"/>
        <s v="Tejgaon"/>
        <s v="Khilkhet"/>
        <s v="Kadamtali"/>
        <s v="Gulshan"/>
        <s v="Rampura"/>
        <s v="Khilgaon"/>
      </sharedItems>
    </cacheField>
    <cacheField name="AreaType" numFmtId="0">
      <sharedItems count="2">
        <s v="Undeveloped"/>
        <s v="Developed"/>
      </sharedItems>
    </cacheField>
    <cacheField name="HouseType" numFmtId="0">
      <sharedItems count="3">
        <s v="Building"/>
        <s v="Other"/>
        <s v="Tinshed"/>
      </sharedItems>
    </cacheField>
    <cacheField name="District" numFmtId="0">
      <sharedItems/>
    </cacheField>
    <cacheField name="Outcome" numFmtId="0">
      <sharedItems containsSemiMixedTypes="0" containsString="0" containsNumber="1" containsInteger="1" minValue="0" maxValue="1" count="2">
        <n v="0"/>
        <n v="1"/>
      </sharedItems>
    </cacheField>
    <cacheField name="Final Outcome" numFmtId="0">
      <sharedItems count="2">
        <s v="Not Affected"/>
        <s v="Affected"/>
      </sharedItems>
    </cacheField>
    <cacheField name="Age Group" numFmtId="0">
      <sharedItems count="10">
        <s v="Middle-aged Adult(36-60)"/>
        <s v="Adolescent(13-18)"/>
        <s v="Young Adult(19-35)"/>
        <s v="Older Adult(&gt;60)"/>
        <s v="Child(&lt;13)"/>
        <s v="Adult(19-60)" u="1"/>
        <s v="Adult" u="1"/>
        <s v="Adolescent" u="1"/>
        <s v="Older Adult" u="1"/>
        <s v="Child" u="1"/>
      </sharedItems>
    </cacheField>
  </cacheFields>
  <extLst>
    <ext xmlns:x14="http://schemas.microsoft.com/office/spreadsheetml/2009/9/main" uri="{725AE2AE-9491-48be-B2B4-4EB974FC3084}">
      <x14:pivotCacheDefinition pivotCacheId="1683061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emale"/>
    <n v="45"/>
    <n v="0"/>
    <n v="0"/>
    <n v="0"/>
    <x v="0"/>
    <s v="Undeveloped"/>
    <s v="Building"/>
    <s v="Dhaka"/>
    <x v="0"/>
  </r>
  <r>
    <s v="Male"/>
    <n v="17"/>
    <n v="0"/>
    <n v="0"/>
    <n v="1"/>
    <x v="1"/>
    <s v="Developed"/>
    <s v="Building"/>
    <s v="Dhaka"/>
    <x v="0"/>
  </r>
  <r>
    <s v="Female"/>
    <n v="29"/>
    <n v="0"/>
    <n v="0"/>
    <n v="0"/>
    <x v="2"/>
    <s v="Undeveloped"/>
    <s v="Other"/>
    <s v="Dhaka"/>
    <x v="0"/>
  </r>
  <r>
    <s v="Female"/>
    <n v="63"/>
    <n v="1"/>
    <n v="1"/>
    <n v="0"/>
    <x v="3"/>
    <s v="Developed"/>
    <s v="Other"/>
    <s v="Dhaka"/>
    <x v="1"/>
  </r>
  <r>
    <s v="Male"/>
    <n v="22"/>
    <n v="0"/>
    <n v="0"/>
    <n v="0"/>
    <x v="4"/>
    <s v="Undeveloped"/>
    <s v="Building"/>
    <s v="Dhaka"/>
    <x v="0"/>
  </r>
  <r>
    <s v="Female"/>
    <n v="36"/>
    <n v="0"/>
    <n v="0"/>
    <n v="1"/>
    <x v="5"/>
    <s v="Developed"/>
    <s v="Other"/>
    <s v="Dhaka"/>
    <x v="0"/>
  </r>
  <r>
    <s v="Female"/>
    <n v="15"/>
    <n v="0"/>
    <n v="0"/>
    <n v="1"/>
    <x v="6"/>
    <s v="Undeveloped"/>
    <s v="Building"/>
    <s v="Dhaka"/>
    <x v="0"/>
  </r>
  <r>
    <s v="Male"/>
    <n v="26"/>
    <n v="0"/>
    <n v="0"/>
    <n v="0"/>
    <x v="6"/>
    <s v="Developed"/>
    <s v="Other"/>
    <s v="Dhaka"/>
    <x v="0"/>
  </r>
  <r>
    <s v="Female"/>
    <n v="31"/>
    <n v="0"/>
    <n v="0"/>
    <n v="1"/>
    <x v="5"/>
    <s v="Undeveloped"/>
    <s v="Tinshed"/>
    <s v="Dhaka"/>
    <x v="0"/>
  </r>
  <r>
    <s v="Female"/>
    <n v="10"/>
    <n v="0"/>
    <n v="0"/>
    <n v="1"/>
    <x v="7"/>
    <s v="Developed"/>
    <s v="Tinshed"/>
    <s v="Dhaka"/>
    <x v="0"/>
  </r>
  <r>
    <s v="Female"/>
    <n v="31"/>
    <n v="1"/>
    <n v="1"/>
    <n v="0"/>
    <x v="8"/>
    <s v="Undeveloped"/>
    <s v="Building"/>
    <s v="Dhaka"/>
    <x v="1"/>
  </r>
  <r>
    <s v="Male"/>
    <n v="10"/>
    <n v="0"/>
    <n v="0"/>
    <n v="0"/>
    <x v="5"/>
    <s v="Developed"/>
    <s v="Tinshed"/>
    <s v="Dhaka"/>
    <x v="0"/>
  </r>
  <r>
    <s v="Female"/>
    <n v="13"/>
    <n v="1"/>
    <n v="1"/>
    <n v="0"/>
    <x v="9"/>
    <s v="Undeveloped"/>
    <s v="Building"/>
    <s v="Dhaka"/>
    <x v="1"/>
  </r>
  <r>
    <s v="Female"/>
    <n v="43"/>
    <n v="1"/>
    <n v="1"/>
    <n v="0"/>
    <x v="10"/>
    <s v="Developed"/>
    <s v="Building"/>
    <s v="Dhaka"/>
    <x v="1"/>
  </r>
  <r>
    <s v="Male"/>
    <n v="52"/>
    <n v="0"/>
    <n v="0"/>
    <n v="0"/>
    <x v="11"/>
    <s v="Undeveloped"/>
    <s v="Other"/>
    <s v="Dhaka"/>
    <x v="0"/>
  </r>
  <r>
    <s v="Female"/>
    <n v="12"/>
    <n v="1"/>
    <n v="1"/>
    <n v="1"/>
    <x v="12"/>
    <s v="Developed"/>
    <s v="Tinshed"/>
    <s v="Dhaka"/>
    <x v="1"/>
  </r>
  <r>
    <s v="Male"/>
    <n v="18"/>
    <n v="0"/>
    <n v="0"/>
    <n v="1"/>
    <x v="13"/>
    <s v="Undeveloped"/>
    <s v="Tinshed"/>
    <s v="Dhaka"/>
    <x v="0"/>
  </r>
  <r>
    <s v="Male"/>
    <n v="56"/>
    <n v="0"/>
    <n v="0"/>
    <n v="1"/>
    <x v="14"/>
    <s v="Developed"/>
    <s v="Building"/>
    <s v="Dhaka"/>
    <x v="0"/>
  </r>
  <r>
    <s v="Male"/>
    <n v="9"/>
    <n v="1"/>
    <n v="1"/>
    <n v="1"/>
    <x v="0"/>
    <s v="Undeveloped"/>
    <s v="Tinshed"/>
    <s v="Dhaka"/>
    <x v="1"/>
  </r>
  <r>
    <s v="Male"/>
    <n v="27"/>
    <n v="1"/>
    <n v="1"/>
    <n v="0"/>
    <x v="0"/>
    <s v="Developed"/>
    <s v="Tinshed"/>
    <s v="Dhaka"/>
    <x v="1"/>
  </r>
  <r>
    <s v="Female"/>
    <n v="31"/>
    <n v="0"/>
    <n v="1"/>
    <n v="0"/>
    <x v="15"/>
    <s v="Undeveloped"/>
    <s v="Tinshed"/>
    <s v="Dhaka"/>
    <x v="1"/>
  </r>
  <r>
    <s v="Female"/>
    <n v="23"/>
    <n v="0"/>
    <n v="0"/>
    <n v="0"/>
    <x v="16"/>
    <s v="Developed"/>
    <s v="Other"/>
    <s v="Dhaka"/>
    <x v="0"/>
  </r>
  <r>
    <s v="Female"/>
    <n v="37"/>
    <n v="0"/>
    <n v="0"/>
    <n v="1"/>
    <x v="17"/>
    <s v="Undeveloped"/>
    <s v="Tinshed"/>
    <s v="Dhaka"/>
    <x v="0"/>
  </r>
  <r>
    <s v="Male"/>
    <n v="44"/>
    <n v="0"/>
    <n v="0"/>
    <n v="1"/>
    <x v="18"/>
    <s v="Developed"/>
    <s v="Other"/>
    <s v="Dhaka"/>
    <x v="0"/>
  </r>
  <r>
    <s v="Female"/>
    <n v="17"/>
    <n v="1"/>
    <n v="1"/>
    <n v="0"/>
    <x v="9"/>
    <s v="Undeveloped"/>
    <s v="Building"/>
    <s v="Dhaka"/>
    <x v="1"/>
  </r>
  <r>
    <s v="Female"/>
    <n v="64"/>
    <n v="1"/>
    <n v="1"/>
    <n v="1"/>
    <x v="15"/>
    <s v="Developed"/>
    <s v="Other"/>
    <s v="Dhaka"/>
    <x v="1"/>
  </r>
  <r>
    <s v="Female"/>
    <n v="65"/>
    <n v="0"/>
    <n v="0"/>
    <n v="0"/>
    <x v="4"/>
    <s v="Undeveloped"/>
    <s v="Tinshed"/>
    <s v="Dhaka"/>
    <x v="0"/>
  </r>
  <r>
    <s v="Female"/>
    <n v="60"/>
    <n v="0"/>
    <n v="0"/>
    <n v="0"/>
    <x v="9"/>
    <s v="Developed"/>
    <s v="Other"/>
    <s v="Dhaka"/>
    <x v="0"/>
  </r>
  <r>
    <s v="Female"/>
    <n v="44"/>
    <n v="1"/>
    <n v="1"/>
    <n v="1"/>
    <x v="8"/>
    <s v="Undeveloped"/>
    <s v="Tinshed"/>
    <s v="Dhaka"/>
    <x v="1"/>
  </r>
  <r>
    <s v="Female"/>
    <n v="13"/>
    <n v="0"/>
    <n v="1"/>
    <n v="0"/>
    <x v="10"/>
    <s v="Developed"/>
    <s v="Building"/>
    <s v="Dhaka"/>
    <x v="1"/>
  </r>
  <r>
    <s v="Female"/>
    <n v="35"/>
    <n v="0"/>
    <n v="0"/>
    <n v="0"/>
    <x v="19"/>
    <s v="Undeveloped"/>
    <s v="Building"/>
    <s v="Dhaka"/>
    <x v="0"/>
  </r>
  <r>
    <s v="Male"/>
    <n v="13"/>
    <n v="1"/>
    <n v="1"/>
    <n v="1"/>
    <x v="15"/>
    <s v="Developed"/>
    <s v="Tinshed"/>
    <s v="Dhaka"/>
    <x v="1"/>
  </r>
  <r>
    <s v="Female"/>
    <n v="39"/>
    <n v="0"/>
    <n v="0"/>
    <n v="1"/>
    <x v="20"/>
    <s v="Undeveloped"/>
    <s v="Building"/>
    <s v="Dhaka"/>
    <x v="0"/>
  </r>
  <r>
    <s v="Female"/>
    <n v="27"/>
    <n v="0"/>
    <n v="0"/>
    <n v="1"/>
    <x v="21"/>
    <s v="Developed"/>
    <s v="Other"/>
    <s v="Dhaka"/>
    <x v="0"/>
  </r>
  <r>
    <s v="Male"/>
    <n v="11"/>
    <n v="1"/>
    <n v="1"/>
    <n v="1"/>
    <x v="22"/>
    <s v="Undeveloped"/>
    <s v="Tinshed"/>
    <s v="Dhaka"/>
    <x v="1"/>
  </r>
  <r>
    <s v="Female"/>
    <n v="46"/>
    <n v="1"/>
    <n v="1"/>
    <n v="1"/>
    <x v="19"/>
    <s v="Developed"/>
    <s v="Other"/>
    <s v="Dhaka"/>
    <x v="1"/>
  </r>
  <r>
    <s v="Male"/>
    <n v="10"/>
    <n v="1"/>
    <n v="1"/>
    <n v="0"/>
    <x v="23"/>
    <s v="Undeveloped"/>
    <s v="Tinshed"/>
    <s v="Dhaka"/>
    <x v="1"/>
  </r>
  <r>
    <s v="Female"/>
    <n v="13"/>
    <n v="0"/>
    <n v="0"/>
    <n v="1"/>
    <x v="24"/>
    <s v="Developed"/>
    <s v="Building"/>
    <s v="Dhaka"/>
    <x v="0"/>
  </r>
  <r>
    <s v="Male"/>
    <n v="50"/>
    <n v="0"/>
    <n v="1"/>
    <n v="0"/>
    <x v="22"/>
    <s v="Undeveloped"/>
    <s v="Other"/>
    <s v="Dhaka"/>
    <x v="1"/>
  </r>
  <r>
    <s v="Male"/>
    <n v="34"/>
    <n v="1"/>
    <n v="1"/>
    <n v="0"/>
    <x v="0"/>
    <s v="Developed"/>
    <s v="Other"/>
    <s v="Dhaka"/>
    <x v="1"/>
  </r>
  <r>
    <s v="Female"/>
    <n v="54"/>
    <n v="0"/>
    <n v="0"/>
    <n v="1"/>
    <x v="13"/>
    <s v="Undeveloped"/>
    <s v="Tinshed"/>
    <s v="Dhaka"/>
    <x v="0"/>
  </r>
  <r>
    <s v="Female"/>
    <n v="16"/>
    <n v="0"/>
    <n v="0"/>
    <n v="1"/>
    <x v="19"/>
    <s v="Developed"/>
    <s v="Other"/>
    <s v="Dhaka"/>
    <x v="0"/>
  </r>
  <r>
    <s v="Male"/>
    <n v="51"/>
    <n v="1"/>
    <n v="1"/>
    <n v="0"/>
    <x v="21"/>
    <s v="Undeveloped"/>
    <s v="Tinshed"/>
    <s v="Dhaka"/>
    <x v="1"/>
  </r>
  <r>
    <s v="Female"/>
    <n v="9"/>
    <n v="1"/>
    <n v="1"/>
    <n v="1"/>
    <x v="25"/>
    <s v="Developed"/>
    <s v="Tinshed"/>
    <s v="Dhaka"/>
    <x v="1"/>
  </r>
  <r>
    <s v="Female"/>
    <n v="37"/>
    <n v="0"/>
    <n v="0"/>
    <n v="0"/>
    <x v="26"/>
    <s v="Undeveloped"/>
    <s v="Building"/>
    <s v="Dhaka"/>
    <x v="0"/>
  </r>
  <r>
    <s v="Female"/>
    <n v="13"/>
    <n v="0"/>
    <n v="0"/>
    <n v="0"/>
    <x v="27"/>
    <s v="Developed"/>
    <s v="Tinshed"/>
    <s v="Dhaka"/>
    <x v="0"/>
  </r>
  <r>
    <s v="Male"/>
    <n v="62"/>
    <n v="0"/>
    <n v="1"/>
    <n v="0"/>
    <x v="22"/>
    <s v="Undeveloped"/>
    <s v="Tinshed"/>
    <s v="Dhaka"/>
    <x v="1"/>
  </r>
  <r>
    <s v="Male"/>
    <n v="17"/>
    <n v="0"/>
    <n v="0"/>
    <n v="1"/>
    <x v="19"/>
    <s v="Developed"/>
    <s v="Building"/>
    <s v="Dhaka"/>
    <x v="0"/>
  </r>
  <r>
    <s v="Female"/>
    <n v="35"/>
    <n v="0"/>
    <n v="0"/>
    <n v="1"/>
    <x v="14"/>
    <s v="Undeveloped"/>
    <s v="Tinshed"/>
    <s v="Dhaka"/>
    <x v="0"/>
  </r>
  <r>
    <s v="Male"/>
    <n v="9"/>
    <n v="1"/>
    <n v="1"/>
    <n v="0"/>
    <x v="28"/>
    <s v="Developed"/>
    <s v="Tinshed"/>
    <s v="Dhaka"/>
    <x v="1"/>
  </r>
  <r>
    <s v="Male"/>
    <n v="14"/>
    <n v="1"/>
    <n v="1"/>
    <n v="0"/>
    <x v="15"/>
    <s v="Undeveloped"/>
    <s v="Tinshed"/>
    <s v="Dhaka"/>
    <x v="1"/>
  </r>
  <r>
    <s v="Male"/>
    <n v="37"/>
    <n v="0"/>
    <n v="0"/>
    <n v="0"/>
    <x v="13"/>
    <s v="Developed"/>
    <s v="Tinshed"/>
    <s v="Dhaka"/>
    <x v="0"/>
  </r>
  <r>
    <s v="Male"/>
    <n v="13"/>
    <n v="0"/>
    <n v="0"/>
    <n v="0"/>
    <x v="29"/>
    <s v="Undeveloped"/>
    <s v="Other"/>
    <s v="Dhaka"/>
    <x v="0"/>
  </r>
  <r>
    <s v="Male"/>
    <n v="57"/>
    <n v="0"/>
    <n v="0"/>
    <n v="0"/>
    <x v="12"/>
    <s v="Developed"/>
    <s v="Building"/>
    <s v="Dhaka"/>
    <x v="0"/>
  </r>
  <r>
    <s v="Female"/>
    <n v="41"/>
    <n v="0"/>
    <n v="0"/>
    <n v="0"/>
    <x v="3"/>
    <s v="Undeveloped"/>
    <s v="Building"/>
    <s v="Dhaka"/>
    <x v="0"/>
  </r>
  <r>
    <s v="Male"/>
    <n v="24"/>
    <n v="1"/>
    <n v="1"/>
    <n v="1"/>
    <x v="14"/>
    <s v="Developed"/>
    <s v="Building"/>
    <s v="Dhaka"/>
    <x v="1"/>
  </r>
  <r>
    <s v="Male"/>
    <n v="28"/>
    <n v="0"/>
    <n v="0"/>
    <n v="0"/>
    <x v="4"/>
    <s v="Undeveloped"/>
    <s v="Other"/>
    <s v="Dhaka"/>
    <x v="0"/>
  </r>
  <r>
    <s v="Male"/>
    <n v="25"/>
    <n v="0"/>
    <n v="0"/>
    <n v="1"/>
    <x v="9"/>
    <s v="Developed"/>
    <s v="Other"/>
    <s v="Dhaka"/>
    <x v="0"/>
  </r>
  <r>
    <s v="Male"/>
    <n v="44"/>
    <n v="0"/>
    <n v="0"/>
    <n v="1"/>
    <x v="24"/>
    <s v="Undeveloped"/>
    <s v="Tinshed"/>
    <s v="Dhaka"/>
    <x v="0"/>
  </r>
  <r>
    <s v="Male"/>
    <n v="10"/>
    <n v="1"/>
    <n v="1"/>
    <n v="1"/>
    <x v="21"/>
    <s v="Developed"/>
    <s v="Tinshed"/>
    <s v="Dhaka"/>
    <x v="1"/>
  </r>
  <r>
    <s v="Female"/>
    <n v="13"/>
    <n v="1"/>
    <n v="1"/>
    <n v="1"/>
    <x v="5"/>
    <s v="Undeveloped"/>
    <s v="Other"/>
    <s v="Dhaka"/>
    <x v="1"/>
  </r>
  <r>
    <s v="Female"/>
    <n v="65"/>
    <n v="1"/>
    <n v="1"/>
    <n v="0"/>
    <x v="30"/>
    <s v="Developed"/>
    <s v="Building"/>
    <s v="Dhaka"/>
    <x v="1"/>
  </r>
  <r>
    <s v="Male"/>
    <n v="53"/>
    <n v="0"/>
    <n v="0"/>
    <n v="0"/>
    <x v="20"/>
    <s v="Undeveloped"/>
    <s v="Other"/>
    <s v="Dhaka"/>
    <x v="0"/>
  </r>
  <r>
    <s v="Male"/>
    <n v="54"/>
    <n v="0"/>
    <n v="0"/>
    <n v="1"/>
    <x v="26"/>
    <s v="Developed"/>
    <s v="Other"/>
    <s v="Dhaka"/>
    <x v="0"/>
  </r>
  <r>
    <s v="Female"/>
    <n v="59"/>
    <n v="0"/>
    <n v="0"/>
    <n v="1"/>
    <x v="31"/>
    <s v="Undeveloped"/>
    <s v="Building"/>
    <s v="Dhaka"/>
    <x v="0"/>
  </r>
  <r>
    <s v="Male"/>
    <n v="47"/>
    <n v="1"/>
    <n v="1"/>
    <n v="1"/>
    <x v="32"/>
    <s v="Developed"/>
    <s v="Building"/>
    <s v="Dhaka"/>
    <x v="1"/>
  </r>
  <r>
    <s v="Female"/>
    <n v="28"/>
    <n v="1"/>
    <n v="1"/>
    <n v="1"/>
    <x v="21"/>
    <s v="Undeveloped"/>
    <s v="Other"/>
    <s v="Dhaka"/>
    <x v="1"/>
  </r>
  <r>
    <s v="Female"/>
    <n v="38"/>
    <n v="1"/>
    <n v="1"/>
    <n v="0"/>
    <x v="32"/>
    <s v="Developed"/>
    <s v="Tinshed"/>
    <s v="Dhaka"/>
    <x v="1"/>
  </r>
  <r>
    <s v="Female"/>
    <n v="11"/>
    <n v="1"/>
    <n v="1"/>
    <n v="0"/>
    <x v="8"/>
    <s v="Undeveloped"/>
    <s v="Tinshed"/>
    <s v="Dhaka"/>
    <x v="1"/>
  </r>
  <r>
    <s v="Female"/>
    <n v="65"/>
    <n v="0"/>
    <n v="0"/>
    <n v="0"/>
    <x v="11"/>
    <s v="Developed"/>
    <s v="Tinshed"/>
    <s v="Dhaka"/>
    <x v="0"/>
  </r>
  <r>
    <s v="Male"/>
    <n v="17"/>
    <n v="1"/>
    <n v="1"/>
    <n v="0"/>
    <x v="3"/>
    <s v="Undeveloped"/>
    <s v="Other"/>
    <s v="Dhaka"/>
    <x v="1"/>
  </r>
  <r>
    <s v="Male"/>
    <n v="64"/>
    <n v="0"/>
    <n v="0"/>
    <n v="0"/>
    <x v="33"/>
    <s v="Developed"/>
    <s v="Tinshed"/>
    <s v="Dhaka"/>
    <x v="0"/>
  </r>
  <r>
    <s v="Female"/>
    <n v="45"/>
    <n v="1"/>
    <n v="1"/>
    <n v="1"/>
    <x v="17"/>
    <s v="Undeveloped"/>
    <s v="Tinshed"/>
    <s v="Dhaka"/>
    <x v="1"/>
  </r>
  <r>
    <s v="Female"/>
    <n v="10"/>
    <n v="1"/>
    <n v="1"/>
    <n v="0"/>
    <x v="31"/>
    <s v="Developed"/>
    <s v="Building"/>
    <s v="Dhaka"/>
    <x v="1"/>
  </r>
  <r>
    <s v="Male"/>
    <n v="49"/>
    <n v="1"/>
    <n v="1"/>
    <n v="1"/>
    <x v="26"/>
    <s v="Undeveloped"/>
    <s v="Other"/>
    <s v="Dhaka"/>
    <x v="1"/>
  </r>
  <r>
    <s v="Male"/>
    <n v="61"/>
    <n v="0"/>
    <n v="0"/>
    <n v="1"/>
    <x v="19"/>
    <s v="Developed"/>
    <s v="Tinshed"/>
    <s v="Dhaka"/>
    <x v="0"/>
  </r>
  <r>
    <s v="Female"/>
    <n v="61"/>
    <n v="1"/>
    <n v="1"/>
    <n v="1"/>
    <x v="21"/>
    <s v="Undeveloped"/>
    <s v="Other"/>
    <s v="Dhaka"/>
    <x v="1"/>
  </r>
  <r>
    <s v="Male"/>
    <n v="21"/>
    <n v="0"/>
    <n v="0"/>
    <n v="1"/>
    <x v="5"/>
    <s v="Developed"/>
    <s v="Building"/>
    <s v="Dhaka"/>
    <x v="0"/>
  </r>
  <r>
    <s v="Male"/>
    <n v="64"/>
    <n v="1"/>
    <n v="1"/>
    <n v="1"/>
    <x v="15"/>
    <s v="Undeveloped"/>
    <s v="Other"/>
    <s v="Dhaka"/>
    <x v="1"/>
  </r>
  <r>
    <s v="Female"/>
    <n v="24"/>
    <n v="0"/>
    <n v="0"/>
    <n v="0"/>
    <x v="14"/>
    <s v="Developed"/>
    <s v="Tinshed"/>
    <s v="Dhaka"/>
    <x v="0"/>
  </r>
  <r>
    <s v="Female"/>
    <n v="62"/>
    <n v="1"/>
    <n v="1"/>
    <n v="0"/>
    <x v="14"/>
    <s v="Undeveloped"/>
    <s v="Building"/>
    <s v="Dhaka"/>
    <x v="1"/>
  </r>
  <r>
    <s v="Male"/>
    <n v="59"/>
    <n v="1"/>
    <n v="1"/>
    <n v="1"/>
    <x v="11"/>
    <s v="Developed"/>
    <s v="Other"/>
    <s v="Dhaka"/>
    <x v="1"/>
  </r>
  <r>
    <s v="Male"/>
    <n v="44"/>
    <n v="0"/>
    <n v="0"/>
    <n v="0"/>
    <x v="6"/>
    <s v="Undeveloped"/>
    <s v="Tinshed"/>
    <s v="Dhaka"/>
    <x v="0"/>
  </r>
  <r>
    <s v="Female"/>
    <n v="12"/>
    <n v="1"/>
    <n v="1"/>
    <n v="0"/>
    <x v="30"/>
    <s v="Developed"/>
    <s v="Other"/>
    <s v="Dhaka"/>
    <x v="1"/>
  </r>
  <r>
    <s v="Female"/>
    <n v="29"/>
    <n v="1"/>
    <n v="1"/>
    <n v="1"/>
    <x v="13"/>
    <s v="Undeveloped"/>
    <s v="Tinshed"/>
    <s v="Dhaka"/>
    <x v="1"/>
  </r>
  <r>
    <s v="Male"/>
    <n v="38"/>
    <n v="0"/>
    <n v="0"/>
    <n v="0"/>
    <x v="18"/>
    <s v="Developed"/>
    <s v="Building"/>
    <s v="Dhaka"/>
    <x v="0"/>
  </r>
  <r>
    <s v="Female"/>
    <n v="45"/>
    <n v="1"/>
    <n v="1"/>
    <n v="0"/>
    <x v="27"/>
    <s v="Undeveloped"/>
    <s v="Building"/>
    <s v="Dhaka"/>
    <x v="1"/>
  </r>
  <r>
    <s v="Female"/>
    <n v="54"/>
    <n v="1"/>
    <n v="1"/>
    <n v="1"/>
    <x v="26"/>
    <s v="Developed"/>
    <s v="Building"/>
    <s v="Dhaka"/>
    <x v="1"/>
  </r>
  <r>
    <s v="Female"/>
    <n v="50"/>
    <n v="1"/>
    <n v="1"/>
    <n v="1"/>
    <x v="29"/>
    <s v="Undeveloped"/>
    <s v="Tinshed"/>
    <s v="Dhaka"/>
    <x v="1"/>
  </r>
  <r>
    <s v="Female"/>
    <n v="39"/>
    <n v="1"/>
    <n v="1"/>
    <n v="0"/>
    <x v="22"/>
    <s v="Developed"/>
    <s v="Building"/>
    <s v="Dhaka"/>
    <x v="1"/>
  </r>
  <r>
    <s v="Female"/>
    <n v="53"/>
    <n v="0"/>
    <n v="0"/>
    <n v="0"/>
    <x v="29"/>
    <s v="Undeveloped"/>
    <s v="Other"/>
    <s v="Dhaka"/>
    <x v="0"/>
  </r>
  <r>
    <s v="Male"/>
    <n v="64"/>
    <n v="1"/>
    <n v="1"/>
    <n v="1"/>
    <x v="0"/>
    <s v="Developed"/>
    <s v="Building"/>
    <s v="Dhaka"/>
    <x v="1"/>
  </r>
  <r>
    <s v="Female"/>
    <n v="60"/>
    <n v="1"/>
    <n v="1"/>
    <n v="1"/>
    <x v="33"/>
    <s v="Undeveloped"/>
    <s v="Other"/>
    <s v="Dhaka"/>
    <x v="1"/>
  </r>
  <r>
    <s v="Female"/>
    <n v="45"/>
    <n v="0"/>
    <n v="0"/>
    <n v="1"/>
    <x v="23"/>
    <s v="Developed"/>
    <s v="Other"/>
    <s v="Dhaka"/>
    <x v="0"/>
  </r>
  <r>
    <s v="Male"/>
    <n v="32"/>
    <n v="0"/>
    <n v="0"/>
    <n v="0"/>
    <x v="27"/>
    <s v="Undeveloped"/>
    <s v="Other"/>
    <s v="Dhaka"/>
    <x v="0"/>
  </r>
  <r>
    <s v="Female"/>
    <n v="26"/>
    <n v="0"/>
    <n v="0"/>
    <n v="0"/>
    <x v="22"/>
    <s v="Developed"/>
    <s v="Building"/>
    <s v="Dhaka"/>
    <x v="0"/>
  </r>
  <r>
    <s v="Female"/>
    <n v="58"/>
    <n v="1"/>
    <n v="1"/>
    <n v="1"/>
    <x v="34"/>
    <s v="Undeveloped"/>
    <s v="Building"/>
    <s v="Dhaka"/>
    <x v="1"/>
  </r>
  <r>
    <s v="Female"/>
    <n v="23"/>
    <n v="1"/>
    <n v="1"/>
    <n v="0"/>
    <x v="20"/>
    <s v="Developed"/>
    <s v="Tinshed"/>
    <s v="Dhaka"/>
    <x v="1"/>
  </r>
  <r>
    <s v="Male"/>
    <n v="30"/>
    <n v="0"/>
    <n v="0"/>
    <n v="1"/>
    <x v="11"/>
    <s v="Undeveloped"/>
    <s v="Tinshed"/>
    <s v="Dhaka"/>
    <x v="0"/>
  </r>
  <r>
    <s v="Female"/>
    <n v="62"/>
    <n v="0"/>
    <n v="0"/>
    <n v="0"/>
    <x v="34"/>
    <s v="Developed"/>
    <s v="Tinshed"/>
    <s v="Dhaka"/>
    <x v="0"/>
  </r>
  <r>
    <s v="Female"/>
    <n v="34"/>
    <n v="0"/>
    <n v="0"/>
    <n v="0"/>
    <x v="24"/>
    <s v="Undeveloped"/>
    <s v="Other"/>
    <s v="Dhaka"/>
    <x v="0"/>
  </r>
  <r>
    <s v="Female"/>
    <n v="58"/>
    <n v="0"/>
    <n v="0"/>
    <n v="0"/>
    <x v="5"/>
    <s v="Developed"/>
    <s v="Other"/>
    <s v="Dhaka"/>
    <x v="0"/>
  </r>
  <r>
    <s v="Female"/>
    <n v="51"/>
    <n v="0"/>
    <n v="0"/>
    <n v="1"/>
    <x v="12"/>
    <s v="Undeveloped"/>
    <s v="Building"/>
    <s v="Dhaka"/>
    <x v="0"/>
  </r>
  <r>
    <s v="Female"/>
    <n v="50"/>
    <n v="1"/>
    <n v="1"/>
    <n v="0"/>
    <x v="21"/>
    <s v="Developed"/>
    <s v="Tinshed"/>
    <s v="Dhaka"/>
    <x v="1"/>
  </r>
  <r>
    <s v="Female"/>
    <n v="9"/>
    <n v="0"/>
    <n v="0"/>
    <n v="0"/>
    <x v="1"/>
    <s v="Undeveloped"/>
    <s v="Tinshed"/>
    <s v="Dhaka"/>
    <x v="0"/>
  </r>
  <r>
    <s v="Female"/>
    <n v="8"/>
    <n v="0"/>
    <n v="0"/>
    <n v="1"/>
    <x v="31"/>
    <s v="Developed"/>
    <s v="Other"/>
    <s v="Dhaka"/>
    <x v="0"/>
  </r>
  <r>
    <s v="Male"/>
    <n v="45"/>
    <n v="1"/>
    <n v="1"/>
    <n v="1"/>
    <x v="15"/>
    <s v="Undeveloped"/>
    <s v="Building"/>
    <s v="Dhaka"/>
    <x v="1"/>
  </r>
  <r>
    <s v="Male"/>
    <n v="27"/>
    <n v="1"/>
    <n v="1"/>
    <n v="1"/>
    <x v="8"/>
    <s v="Developed"/>
    <s v="Other"/>
    <s v="Dhaka"/>
    <x v="1"/>
  </r>
  <r>
    <s v="Female"/>
    <n v="31"/>
    <n v="1"/>
    <n v="1"/>
    <n v="1"/>
    <x v="26"/>
    <s v="Undeveloped"/>
    <s v="Building"/>
    <s v="Dhaka"/>
    <x v="1"/>
  </r>
  <r>
    <s v="Female"/>
    <n v="44"/>
    <n v="0"/>
    <n v="0"/>
    <n v="0"/>
    <x v="4"/>
    <s v="Developed"/>
    <s v="Other"/>
    <s v="Dhaka"/>
    <x v="0"/>
  </r>
  <r>
    <s v="Female"/>
    <n v="39"/>
    <n v="1"/>
    <n v="1"/>
    <n v="0"/>
    <x v="30"/>
    <s v="Undeveloped"/>
    <s v="Tinshed"/>
    <s v="Dhaka"/>
    <x v="1"/>
  </r>
  <r>
    <s v="Female"/>
    <n v="9"/>
    <n v="1"/>
    <n v="1"/>
    <n v="0"/>
    <x v="35"/>
    <s v="Developed"/>
    <s v="Tinshed"/>
    <s v="Dhaka"/>
    <x v="1"/>
  </r>
  <r>
    <s v="Male"/>
    <n v="51"/>
    <n v="1"/>
    <n v="1"/>
    <n v="0"/>
    <x v="20"/>
    <s v="Undeveloped"/>
    <s v="Other"/>
    <s v="Dhaka"/>
    <x v="1"/>
  </r>
  <r>
    <s v="Male"/>
    <n v="24"/>
    <n v="0"/>
    <n v="0"/>
    <n v="0"/>
    <x v="4"/>
    <s v="Developed"/>
    <s v="Other"/>
    <s v="Dhaka"/>
    <x v="0"/>
  </r>
  <r>
    <s v="Male"/>
    <n v="46"/>
    <n v="1"/>
    <n v="1"/>
    <n v="0"/>
    <x v="21"/>
    <s v="Undeveloped"/>
    <s v="Tinshed"/>
    <s v="Dhaka"/>
    <x v="1"/>
  </r>
  <r>
    <s v="Male"/>
    <n v="39"/>
    <n v="1"/>
    <n v="1"/>
    <n v="0"/>
    <x v="2"/>
    <s v="Developed"/>
    <s v="Building"/>
    <s v="Dhaka"/>
    <x v="1"/>
  </r>
  <r>
    <s v="Female"/>
    <n v="14"/>
    <n v="1"/>
    <n v="1"/>
    <n v="0"/>
    <x v="17"/>
    <s v="Undeveloped"/>
    <s v="Building"/>
    <s v="Dhaka"/>
    <x v="1"/>
  </r>
  <r>
    <s v="Male"/>
    <n v="42"/>
    <n v="1"/>
    <n v="1"/>
    <n v="0"/>
    <x v="35"/>
    <s v="Developed"/>
    <s v="Other"/>
    <s v="Dhaka"/>
    <x v="1"/>
  </r>
  <r>
    <s v="Male"/>
    <n v="37"/>
    <n v="1"/>
    <n v="1"/>
    <n v="0"/>
    <x v="15"/>
    <s v="Undeveloped"/>
    <s v="Tinshed"/>
    <s v="Dhaka"/>
    <x v="1"/>
  </r>
  <r>
    <s v="Male"/>
    <n v="31"/>
    <n v="1"/>
    <n v="1"/>
    <n v="0"/>
    <x v="16"/>
    <s v="Developed"/>
    <s v="Building"/>
    <s v="Dhaka"/>
    <x v="1"/>
  </r>
  <r>
    <s v="Male"/>
    <n v="57"/>
    <n v="0"/>
    <n v="0"/>
    <n v="0"/>
    <x v="14"/>
    <s v="Undeveloped"/>
    <s v="Tinshed"/>
    <s v="Dhaka"/>
    <x v="0"/>
  </r>
  <r>
    <s v="Female"/>
    <n v="30"/>
    <n v="0"/>
    <n v="0"/>
    <n v="1"/>
    <x v="28"/>
    <s v="Developed"/>
    <s v="Building"/>
    <s v="Dhaka"/>
    <x v="0"/>
  </r>
  <r>
    <s v="Female"/>
    <n v="57"/>
    <n v="1"/>
    <n v="1"/>
    <n v="1"/>
    <x v="3"/>
    <s v="Undeveloped"/>
    <s v="Tinshed"/>
    <s v="Dhaka"/>
    <x v="1"/>
  </r>
  <r>
    <s v="Male"/>
    <n v="17"/>
    <n v="0"/>
    <n v="0"/>
    <n v="0"/>
    <x v="10"/>
    <s v="Developed"/>
    <s v="Other"/>
    <s v="Dhaka"/>
    <x v="0"/>
  </r>
  <r>
    <s v="Female"/>
    <n v="56"/>
    <n v="0"/>
    <n v="0"/>
    <n v="0"/>
    <x v="32"/>
    <s v="Undeveloped"/>
    <s v="Tinshed"/>
    <s v="Dhaka"/>
    <x v="0"/>
  </r>
  <r>
    <s v="Male"/>
    <n v="54"/>
    <n v="0"/>
    <n v="0"/>
    <n v="0"/>
    <x v="19"/>
    <s v="Developed"/>
    <s v="Other"/>
    <s v="Dhaka"/>
    <x v="0"/>
  </r>
  <r>
    <s v="Female"/>
    <n v="22"/>
    <n v="0"/>
    <n v="0"/>
    <n v="1"/>
    <x v="24"/>
    <s v="Undeveloped"/>
    <s v="Other"/>
    <s v="Dhaka"/>
    <x v="0"/>
  </r>
  <r>
    <s v="Female"/>
    <n v="63"/>
    <n v="1"/>
    <n v="1"/>
    <n v="1"/>
    <x v="26"/>
    <s v="Developed"/>
    <s v="Other"/>
    <s v="Dhaka"/>
    <x v="1"/>
  </r>
  <r>
    <s v="Male"/>
    <n v="54"/>
    <n v="0"/>
    <n v="0"/>
    <n v="1"/>
    <x v="0"/>
    <s v="Undeveloped"/>
    <s v="Tinshed"/>
    <s v="Dhaka"/>
    <x v="0"/>
  </r>
  <r>
    <s v="Male"/>
    <n v="61"/>
    <n v="1"/>
    <n v="1"/>
    <n v="1"/>
    <x v="18"/>
    <s v="Developed"/>
    <s v="Tinshed"/>
    <s v="Dhaka"/>
    <x v="1"/>
  </r>
  <r>
    <s v="Female"/>
    <n v="47"/>
    <n v="1"/>
    <n v="1"/>
    <n v="1"/>
    <x v="15"/>
    <s v="Undeveloped"/>
    <s v="Tinshed"/>
    <s v="Dhaka"/>
    <x v="1"/>
  </r>
  <r>
    <s v="Male"/>
    <n v="18"/>
    <n v="0"/>
    <n v="0"/>
    <n v="1"/>
    <x v="3"/>
    <s v="Developed"/>
    <s v="Other"/>
    <s v="Dhaka"/>
    <x v="0"/>
  </r>
  <r>
    <s v="Female"/>
    <n v="24"/>
    <n v="1"/>
    <n v="1"/>
    <n v="0"/>
    <x v="21"/>
    <s v="Undeveloped"/>
    <s v="Other"/>
    <s v="Dhaka"/>
    <x v="1"/>
  </r>
  <r>
    <s v="Female"/>
    <n v="60"/>
    <n v="0"/>
    <n v="0"/>
    <n v="1"/>
    <x v="22"/>
    <s v="Developed"/>
    <s v="Other"/>
    <s v="Dhaka"/>
    <x v="0"/>
  </r>
  <r>
    <s v="Female"/>
    <n v="47"/>
    <n v="1"/>
    <n v="1"/>
    <n v="1"/>
    <x v="13"/>
    <s v="Undeveloped"/>
    <s v="Other"/>
    <s v="Dhaka"/>
    <x v="1"/>
  </r>
  <r>
    <s v="Female"/>
    <n v="19"/>
    <n v="1"/>
    <n v="1"/>
    <n v="0"/>
    <x v="2"/>
    <s v="Developed"/>
    <s v="Building"/>
    <s v="Dhaka"/>
    <x v="1"/>
  </r>
  <r>
    <s v="Male"/>
    <n v="55"/>
    <n v="1"/>
    <n v="1"/>
    <n v="0"/>
    <x v="16"/>
    <s v="Undeveloped"/>
    <s v="Tinshed"/>
    <s v="Dhaka"/>
    <x v="1"/>
  </r>
  <r>
    <s v="Female"/>
    <n v="49"/>
    <n v="1"/>
    <n v="1"/>
    <n v="0"/>
    <x v="2"/>
    <s v="Developed"/>
    <s v="Building"/>
    <s v="Dhaka"/>
    <x v="1"/>
  </r>
  <r>
    <s v="Male"/>
    <n v="32"/>
    <n v="0"/>
    <n v="1"/>
    <n v="0"/>
    <x v="35"/>
    <s v="Undeveloped"/>
    <s v="Tinshed"/>
    <s v="Dhaka"/>
    <x v="1"/>
  </r>
  <r>
    <s v="Female"/>
    <n v="8"/>
    <n v="1"/>
    <n v="1"/>
    <n v="0"/>
    <x v="26"/>
    <s v="Developed"/>
    <s v="Tinshed"/>
    <s v="Dhaka"/>
    <x v="1"/>
  </r>
  <r>
    <s v="Female"/>
    <n v="14"/>
    <n v="0"/>
    <n v="0"/>
    <n v="0"/>
    <x v="29"/>
    <s v="Undeveloped"/>
    <s v="Tinshed"/>
    <s v="Dhaka"/>
    <x v="0"/>
  </r>
  <r>
    <s v="Male"/>
    <n v="28"/>
    <n v="0"/>
    <n v="0"/>
    <n v="1"/>
    <x v="28"/>
    <s v="Developed"/>
    <s v="Other"/>
    <s v="Dhaka"/>
    <x v="0"/>
  </r>
  <r>
    <s v="Female"/>
    <n v="11"/>
    <n v="1"/>
    <n v="1"/>
    <n v="1"/>
    <x v="20"/>
    <s v="Undeveloped"/>
    <s v="Other"/>
    <s v="Dhaka"/>
    <x v="1"/>
  </r>
  <r>
    <s v="Male"/>
    <n v="29"/>
    <n v="0"/>
    <n v="0"/>
    <n v="0"/>
    <x v="35"/>
    <s v="Developed"/>
    <s v="Building"/>
    <s v="Dhaka"/>
    <x v="0"/>
  </r>
  <r>
    <s v="Female"/>
    <n v="62"/>
    <n v="0"/>
    <n v="0"/>
    <n v="1"/>
    <x v="11"/>
    <s v="Undeveloped"/>
    <s v="Other"/>
    <s v="Dhaka"/>
    <x v="0"/>
  </r>
  <r>
    <s v="Female"/>
    <n v="65"/>
    <n v="1"/>
    <n v="1"/>
    <n v="1"/>
    <x v="2"/>
    <s v="Developed"/>
    <s v="Other"/>
    <s v="Dhaka"/>
    <x v="1"/>
  </r>
  <r>
    <s v="Female"/>
    <n v="43"/>
    <n v="1"/>
    <n v="1"/>
    <n v="1"/>
    <x v="19"/>
    <s v="Undeveloped"/>
    <s v="Other"/>
    <s v="Dhaka"/>
    <x v="1"/>
  </r>
  <r>
    <s v="Female"/>
    <n v="59"/>
    <n v="1"/>
    <n v="1"/>
    <n v="0"/>
    <x v="25"/>
    <s v="Developed"/>
    <s v="Tinshed"/>
    <s v="Dhaka"/>
    <x v="1"/>
  </r>
  <r>
    <s v="Female"/>
    <n v="29"/>
    <n v="1"/>
    <n v="1"/>
    <n v="1"/>
    <x v="1"/>
    <s v="Undeveloped"/>
    <s v="Tinshed"/>
    <s v="Dhaka"/>
    <x v="1"/>
  </r>
  <r>
    <s v="Male"/>
    <n v="17"/>
    <n v="0"/>
    <n v="0"/>
    <n v="0"/>
    <x v="31"/>
    <s v="Developed"/>
    <s v="Building"/>
    <s v="Dhaka"/>
    <x v="0"/>
  </r>
  <r>
    <s v="Female"/>
    <n v="41"/>
    <n v="1"/>
    <n v="1"/>
    <n v="1"/>
    <x v="11"/>
    <s v="Undeveloped"/>
    <s v="Other"/>
    <s v="Dhaka"/>
    <x v="1"/>
  </r>
  <r>
    <s v="Female"/>
    <n v="8"/>
    <n v="1"/>
    <n v="1"/>
    <n v="1"/>
    <x v="29"/>
    <s v="Developed"/>
    <s v="Building"/>
    <s v="Dhaka"/>
    <x v="1"/>
  </r>
  <r>
    <s v="Female"/>
    <n v="29"/>
    <n v="1"/>
    <n v="1"/>
    <n v="0"/>
    <x v="13"/>
    <s v="Undeveloped"/>
    <s v="Tinshed"/>
    <s v="Dhaka"/>
    <x v="1"/>
  </r>
  <r>
    <s v="Female"/>
    <n v="54"/>
    <n v="1"/>
    <n v="1"/>
    <n v="0"/>
    <x v="32"/>
    <s v="Developed"/>
    <s v="Tinshed"/>
    <s v="Dhaka"/>
    <x v="1"/>
  </r>
  <r>
    <s v="Female"/>
    <n v="53"/>
    <n v="0"/>
    <n v="0"/>
    <n v="1"/>
    <x v="1"/>
    <s v="Undeveloped"/>
    <s v="Building"/>
    <s v="Dhaka"/>
    <x v="0"/>
  </r>
  <r>
    <s v="Male"/>
    <n v="16"/>
    <n v="1"/>
    <n v="1"/>
    <n v="1"/>
    <x v="27"/>
    <s v="Developed"/>
    <s v="Building"/>
    <s v="Dhaka"/>
    <x v="1"/>
  </r>
  <r>
    <s v="Male"/>
    <n v="43"/>
    <n v="0"/>
    <n v="0"/>
    <n v="1"/>
    <x v="13"/>
    <s v="Undeveloped"/>
    <s v="Building"/>
    <s v="Dhaka"/>
    <x v="0"/>
  </r>
  <r>
    <s v="Male"/>
    <n v="54"/>
    <n v="0"/>
    <n v="0"/>
    <n v="0"/>
    <x v="18"/>
    <s v="Developed"/>
    <s v="Other"/>
    <s v="Dhaka"/>
    <x v="0"/>
  </r>
  <r>
    <s v="Male"/>
    <n v="41"/>
    <n v="0"/>
    <n v="0"/>
    <n v="0"/>
    <x v="21"/>
    <s v="Undeveloped"/>
    <s v="Tinshed"/>
    <s v="Dhaka"/>
    <x v="0"/>
  </r>
  <r>
    <s v="Male"/>
    <n v="42"/>
    <n v="0"/>
    <n v="0"/>
    <n v="0"/>
    <x v="33"/>
    <s v="Developed"/>
    <s v="Other"/>
    <s v="Dhaka"/>
    <x v="0"/>
  </r>
  <r>
    <s v="Female"/>
    <n v="45"/>
    <n v="1"/>
    <n v="1"/>
    <n v="1"/>
    <x v="7"/>
    <s v="Undeveloped"/>
    <s v="Other"/>
    <s v="Dhaka"/>
    <x v="1"/>
  </r>
  <r>
    <s v="Male"/>
    <n v="13"/>
    <n v="1"/>
    <n v="1"/>
    <n v="1"/>
    <x v="32"/>
    <s v="Developed"/>
    <s v="Other"/>
    <s v="Dhaka"/>
    <x v="1"/>
  </r>
  <r>
    <s v="Female"/>
    <n v="10"/>
    <n v="1"/>
    <n v="1"/>
    <n v="0"/>
    <x v="27"/>
    <s v="Undeveloped"/>
    <s v="Building"/>
    <s v="Dhaka"/>
    <x v="1"/>
  </r>
  <r>
    <s v="Male"/>
    <n v="18"/>
    <n v="1"/>
    <n v="1"/>
    <n v="0"/>
    <x v="13"/>
    <s v="Developed"/>
    <s v="Building"/>
    <s v="Dhaka"/>
    <x v="1"/>
  </r>
  <r>
    <s v="Female"/>
    <n v="9"/>
    <n v="1"/>
    <n v="1"/>
    <n v="0"/>
    <x v="14"/>
    <s v="Undeveloped"/>
    <s v="Tinshed"/>
    <s v="Dhaka"/>
    <x v="1"/>
  </r>
  <r>
    <s v="Female"/>
    <n v="63"/>
    <n v="0"/>
    <n v="0"/>
    <n v="1"/>
    <x v="25"/>
    <s v="Developed"/>
    <s v="Tinshed"/>
    <s v="Dhaka"/>
    <x v="0"/>
  </r>
  <r>
    <s v="Male"/>
    <n v="36"/>
    <n v="1"/>
    <n v="1"/>
    <n v="0"/>
    <x v="5"/>
    <s v="Undeveloped"/>
    <s v="Building"/>
    <s v="Dhaka"/>
    <x v="1"/>
  </r>
  <r>
    <s v="Male"/>
    <n v="15"/>
    <n v="0"/>
    <n v="0"/>
    <n v="1"/>
    <x v="14"/>
    <s v="Developed"/>
    <s v="Building"/>
    <s v="Dhaka"/>
    <x v="0"/>
  </r>
  <r>
    <s v="Male"/>
    <n v="30"/>
    <n v="0"/>
    <n v="0"/>
    <n v="0"/>
    <x v="2"/>
    <s v="Undeveloped"/>
    <s v="Other"/>
    <s v="Dhaka"/>
    <x v="0"/>
  </r>
  <r>
    <s v="Female"/>
    <n v="40"/>
    <n v="1"/>
    <n v="1"/>
    <n v="0"/>
    <x v="16"/>
    <s v="Developed"/>
    <s v="Building"/>
    <s v="Dhaka"/>
    <x v="1"/>
  </r>
  <r>
    <s v="Male"/>
    <n v="45"/>
    <n v="1"/>
    <n v="1"/>
    <n v="0"/>
    <x v="2"/>
    <s v="Undeveloped"/>
    <s v="Tinshed"/>
    <s v="Dhaka"/>
    <x v="1"/>
  </r>
  <r>
    <s v="Female"/>
    <n v="14"/>
    <n v="0"/>
    <n v="0"/>
    <n v="1"/>
    <x v="13"/>
    <s v="Developed"/>
    <s v="Other"/>
    <s v="Dhaka"/>
    <x v="0"/>
  </r>
  <r>
    <s v="Female"/>
    <n v="9"/>
    <n v="1"/>
    <n v="1"/>
    <n v="0"/>
    <x v="5"/>
    <s v="Undeveloped"/>
    <s v="Tinshed"/>
    <s v="Dhaka"/>
    <x v="1"/>
  </r>
  <r>
    <s v="Female"/>
    <n v="42"/>
    <n v="0"/>
    <n v="0"/>
    <n v="1"/>
    <x v="33"/>
    <s v="Developed"/>
    <s v="Other"/>
    <s v="Dhaka"/>
    <x v="0"/>
  </r>
  <r>
    <s v="Female"/>
    <n v="17"/>
    <n v="0"/>
    <n v="0"/>
    <n v="0"/>
    <x v="7"/>
    <s v="Undeveloped"/>
    <s v="Building"/>
    <s v="Dhaka"/>
    <x v="0"/>
  </r>
  <r>
    <s v="Female"/>
    <n v="49"/>
    <n v="0"/>
    <n v="0"/>
    <n v="0"/>
    <x v="19"/>
    <s v="Developed"/>
    <s v="Building"/>
    <s v="Dhaka"/>
    <x v="0"/>
  </r>
  <r>
    <s v="Male"/>
    <n v="14"/>
    <n v="0"/>
    <n v="0"/>
    <n v="0"/>
    <x v="32"/>
    <s v="Undeveloped"/>
    <s v="Other"/>
    <s v="Dhaka"/>
    <x v="0"/>
  </r>
  <r>
    <s v="Female"/>
    <n v="41"/>
    <n v="0"/>
    <n v="0"/>
    <n v="0"/>
    <x v="17"/>
    <s v="Developed"/>
    <s v="Building"/>
    <s v="Dhaka"/>
    <x v="0"/>
  </r>
  <r>
    <s v="Female"/>
    <n v="27"/>
    <n v="1"/>
    <n v="1"/>
    <n v="1"/>
    <x v="35"/>
    <s v="Undeveloped"/>
    <s v="Other"/>
    <s v="Dhaka"/>
    <x v="1"/>
  </r>
  <r>
    <s v="Male"/>
    <n v="38"/>
    <n v="1"/>
    <n v="1"/>
    <n v="0"/>
    <x v="32"/>
    <s v="Developed"/>
    <s v="Building"/>
    <s v="Dhaka"/>
    <x v="1"/>
  </r>
  <r>
    <s v="Female"/>
    <n v="14"/>
    <n v="1"/>
    <n v="1"/>
    <n v="0"/>
    <x v="34"/>
    <s v="Undeveloped"/>
    <s v="Other"/>
    <s v="Dhaka"/>
    <x v="1"/>
  </r>
  <r>
    <s v="Male"/>
    <n v="28"/>
    <n v="0"/>
    <n v="0"/>
    <n v="1"/>
    <x v="32"/>
    <s v="Developed"/>
    <s v="Tinshed"/>
    <s v="Dhaka"/>
    <x v="0"/>
  </r>
  <r>
    <s v="Male"/>
    <n v="35"/>
    <n v="1"/>
    <n v="1"/>
    <n v="1"/>
    <x v="35"/>
    <s v="Undeveloped"/>
    <s v="Building"/>
    <s v="Dhaka"/>
    <x v="1"/>
  </r>
  <r>
    <s v="Male"/>
    <n v="59"/>
    <n v="0"/>
    <n v="0"/>
    <n v="1"/>
    <x v="35"/>
    <s v="Developed"/>
    <s v="Building"/>
    <s v="Dhaka"/>
    <x v="0"/>
  </r>
  <r>
    <s v="Female"/>
    <n v="58"/>
    <n v="1"/>
    <n v="1"/>
    <n v="1"/>
    <x v="25"/>
    <s v="Undeveloped"/>
    <s v="Building"/>
    <s v="Dhaka"/>
    <x v="1"/>
  </r>
  <r>
    <s v="Male"/>
    <n v="40"/>
    <n v="0"/>
    <n v="0"/>
    <n v="1"/>
    <x v="30"/>
    <s v="Developed"/>
    <s v="Building"/>
    <s v="Dhaka"/>
    <x v="0"/>
  </r>
  <r>
    <s v="Male"/>
    <n v="25"/>
    <n v="0"/>
    <n v="0"/>
    <n v="1"/>
    <x v="2"/>
    <s v="Undeveloped"/>
    <s v="Tinshed"/>
    <s v="Dhaka"/>
    <x v="0"/>
  </r>
  <r>
    <s v="Male"/>
    <n v="63"/>
    <n v="0"/>
    <n v="0"/>
    <n v="1"/>
    <x v="22"/>
    <s v="Developed"/>
    <s v="Other"/>
    <s v="Dhaka"/>
    <x v="0"/>
  </r>
  <r>
    <s v="Female"/>
    <n v="48"/>
    <n v="1"/>
    <n v="1"/>
    <n v="0"/>
    <x v="24"/>
    <s v="Undeveloped"/>
    <s v="Building"/>
    <s v="Dhaka"/>
    <x v="1"/>
  </r>
  <r>
    <s v="Male"/>
    <n v="15"/>
    <n v="1"/>
    <n v="1"/>
    <n v="1"/>
    <x v="9"/>
    <s v="Developed"/>
    <s v="Tinshed"/>
    <s v="Dhaka"/>
    <x v="1"/>
  </r>
  <r>
    <s v="Male"/>
    <n v="60"/>
    <n v="0"/>
    <n v="0"/>
    <n v="1"/>
    <x v="31"/>
    <s v="Undeveloped"/>
    <s v="Other"/>
    <s v="Dhaka"/>
    <x v="0"/>
  </r>
  <r>
    <s v="Female"/>
    <n v="13"/>
    <n v="0"/>
    <n v="0"/>
    <n v="1"/>
    <x v="26"/>
    <s v="Developed"/>
    <s v="Tinshed"/>
    <s v="Dhaka"/>
    <x v="0"/>
  </r>
  <r>
    <s v="Female"/>
    <n v="58"/>
    <n v="0"/>
    <n v="0"/>
    <n v="1"/>
    <x v="16"/>
    <s v="Undeveloped"/>
    <s v="Tinshed"/>
    <s v="Dhaka"/>
    <x v="0"/>
  </r>
  <r>
    <s v="Male"/>
    <n v="53"/>
    <n v="1"/>
    <n v="1"/>
    <n v="1"/>
    <x v="5"/>
    <s v="Developed"/>
    <s v="Other"/>
    <s v="Dhaka"/>
    <x v="1"/>
  </r>
  <r>
    <s v="Male"/>
    <n v="61"/>
    <n v="1"/>
    <n v="1"/>
    <n v="1"/>
    <x v="31"/>
    <s v="Undeveloped"/>
    <s v="Tinshed"/>
    <s v="Dhaka"/>
    <x v="1"/>
  </r>
  <r>
    <s v="Female"/>
    <n v="44"/>
    <n v="0"/>
    <n v="0"/>
    <n v="1"/>
    <x v="31"/>
    <s v="Developed"/>
    <s v="Other"/>
    <s v="Dhaka"/>
    <x v="0"/>
  </r>
  <r>
    <s v="Female"/>
    <n v="40"/>
    <n v="0"/>
    <n v="0"/>
    <n v="0"/>
    <x v="30"/>
    <s v="Undeveloped"/>
    <s v="Tinshed"/>
    <s v="Dhaka"/>
    <x v="0"/>
  </r>
  <r>
    <s v="Male"/>
    <n v="49"/>
    <n v="0"/>
    <n v="0"/>
    <n v="0"/>
    <x v="5"/>
    <s v="Developed"/>
    <s v="Tinshed"/>
    <s v="Dhaka"/>
    <x v="0"/>
  </r>
  <r>
    <s v="Male"/>
    <n v="56"/>
    <n v="1"/>
    <n v="1"/>
    <n v="0"/>
    <x v="10"/>
    <s v="Undeveloped"/>
    <s v="Building"/>
    <s v="Dhaka"/>
    <x v="1"/>
  </r>
  <r>
    <s v="Female"/>
    <n v="28"/>
    <n v="0"/>
    <n v="0"/>
    <n v="1"/>
    <x v="32"/>
    <s v="Developed"/>
    <s v="Building"/>
    <s v="Dhaka"/>
    <x v="0"/>
  </r>
  <r>
    <s v="Male"/>
    <n v="40"/>
    <n v="0"/>
    <n v="0"/>
    <n v="0"/>
    <x v="33"/>
    <s v="Undeveloped"/>
    <s v="Tinshed"/>
    <s v="Dhaka"/>
    <x v="0"/>
  </r>
  <r>
    <s v="Male"/>
    <n v="25"/>
    <n v="1"/>
    <n v="1"/>
    <n v="0"/>
    <x v="35"/>
    <s v="Developed"/>
    <s v="Tinshed"/>
    <s v="Dhaka"/>
    <x v="1"/>
  </r>
  <r>
    <s v="Female"/>
    <n v="52"/>
    <n v="0"/>
    <n v="0"/>
    <n v="0"/>
    <x v="2"/>
    <s v="Undeveloped"/>
    <s v="Building"/>
    <s v="Dhaka"/>
    <x v="0"/>
  </r>
  <r>
    <s v="Female"/>
    <n v="60"/>
    <n v="0"/>
    <n v="0"/>
    <n v="0"/>
    <x v="26"/>
    <s v="Developed"/>
    <s v="Other"/>
    <s v="Dhaka"/>
    <x v="0"/>
  </r>
  <r>
    <s v="Female"/>
    <n v="59"/>
    <n v="0"/>
    <n v="0"/>
    <n v="1"/>
    <x v="13"/>
    <s v="Undeveloped"/>
    <s v="Building"/>
    <s v="Dhaka"/>
    <x v="0"/>
  </r>
  <r>
    <s v="Female"/>
    <n v="35"/>
    <n v="1"/>
    <n v="1"/>
    <n v="0"/>
    <x v="18"/>
    <s v="Developed"/>
    <s v="Building"/>
    <s v="Dhaka"/>
    <x v="1"/>
  </r>
  <r>
    <s v="Female"/>
    <n v="48"/>
    <n v="1"/>
    <n v="1"/>
    <n v="1"/>
    <x v="30"/>
    <s v="Undeveloped"/>
    <s v="Other"/>
    <s v="Dhaka"/>
    <x v="1"/>
  </r>
  <r>
    <s v="Male"/>
    <n v="31"/>
    <n v="1"/>
    <n v="1"/>
    <n v="1"/>
    <x v="2"/>
    <s v="Developed"/>
    <s v="Other"/>
    <s v="Dhaka"/>
    <x v="1"/>
  </r>
  <r>
    <s v="Male"/>
    <n v="33"/>
    <n v="1"/>
    <n v="1"/>
    <n v="0"/>
    <x v="23"/>
    <s v="Undeveloped"/>
    <s v="Tinshed"/>
    <s v="Dhaka"/>
    <x v="1"/>
  </r>
  <r>
    <s v="Female"/>
    <n v="39"/>
    <n v="1"/>
    <n v="1"/>
    <n v="1"/>
    <x v="6"/>
    <s v="Developed"/>
    <s v="Building"/>
    <s v="Dhaka"/>
    <x v="1"/>
  </r>
  <r>
    <s v="Male"/>
    <n v="34"/>
    <n v="0"/>
    <n v="0"/>
    <n v="0"/>
    <x v="20"/>
    <s v="Undeveloped"/>
    <s v="Other"/>
    <s v="Dhaka"/>
    <x v="0"/>
  </r>
  <r>
    <s v="Female"/>
    <n v="33"/>
    <n v="1"/>
    <n v="1"/>
    <n v="1"/>
    <x v="32"/>
    <s v="Developed"/>
    <s v="Other"/>
    <s v="Dhaka"/>
    <x v="1"/>
  </r>
  <r>
    <s v="Female"/>
    <n v="18"/>
    <n v="0"/>
    <n v="1"/>
    <n v="1"/>
    <x v="32"/>
    <s v="Undeveloped"/>
    <s v="Tinshed"/>
    <s v="Dhaka"/>
    <x v="1"/>
  </r>
  <r>
    <s v="Female"/>
    <n v="43"/>
    <n v="1"/>
    <n v="1"/>
    <n v="1"/>
    <x v="15"/>
    <s v="Developed"/>
    <s v="Other"/>
    <s v="Dhaka"/>
    <x v="1"/>
  </r>
  <r>
    <s v="Male"/>
    <n v="61"/>
    <n v="0"/>
    <n v="0"/>
    <n v="1"/>
    <x v="8"/>
    <s v="Undeveloped"/>
    <s v="Building"/>
    <s v="Dhaka"/>
    <x v="0"/>
  </r>
  <r>
    <s v="Female"/>
    <n v="46"/>
    <n v="0"/>
    <n v="0"/>
    <n v="0"/>
    <x v="4"/>
    <s v="Developed"/>
    <s v="Other"/>
    <s v="Dhaka"/>
    <x v="0"/>
  </r>
  <r>
    <s v="Male"/>
    <n v="59"/>
    <n v="1"/>
    <n v="1"/>
    <n v="1"/>
    <x v="12"/>
    <s v="Undeveloped"/>
    <s v="Other"/>
    <s v="Dhaka"/>
    <x v="1"/>
  </r>
  <r>
    <s v="Female"/>
    <n v="55"/>
    <n v="1"/>
    <n v="1"/>
    <n v="1"/>
    <x v="11"/>
    <s v="Developed"/>
    <s v="Building"/>
    <s v="Dhaka"/>
    <x v="1"/>
  </r>
  <r>
    <s v="Male"/>
    <n v="25"/>
    <n v="0"/>
    <n v="0"/>
    <n v="1"/>
    <x v="0"/>
    <s v="Undeveloped"/>
    <s v="Tinshed"/>
    <s v="Dhaka"/>
    <x v="0"/>
  </r>
  <r>
    <s v="Female"/>
    <n v="53"/>
    <n v="0"/>
    <n v="0"/>
    <n v="1"/>
    <x v="15"/>
    <s v="Developed"/>
    <s v="Tinshed"/>
    <s v="Dhaka"/>
    <x v="0"/>
  </r>
  <r>
    <s v="Female"/>
    <n v="32"/>
    <n v="1"/>
    <n v="1"/>
    <n v="0"/>
    <x v="33"/>
    <s v="Undeveloped"/>
    <s v="Building"/>
    <s v="Dhaka"/>
    <x v="1"/>
  </r>
  <r>
    <s v="Male"/>
    <n v="40"/>
    <n v="1"/>
    <n v="1"/>
    <n v="1"/>
    <x v="26"/>
    <s v="Developed"/>
    <s v="Other"/>
    <s v="Dhaka"/>
    <x v="1"/>
  </r>
  <r>
    <s v="Male"/>
    <n v="57"/>
    <n v="1"/>
    <n v="1"/>
    <n v="1"/>
    <x v="18"/>
    <s v="Undeveloped"/>
    <s v="Building"/>
    <s v="Dhaka"/>
    <x v="1"/>
  </r>
  <r>
    <s v="Male"/>
    <n v="43"/>
    <n v="0"/>
    <n v="0"/>
    <n v="1"/>
    <x v="12"/>
    <s v="Developed"/>
    <s v="Other"/>
    <s v="Dhaka"/>
    <x v="0"/>
  </r>
  <r>
    <s v="Male"/>
    <n v="43"/>
    <n v="0"/>
    <n v="0"/>
    <n v="1"/>
    <x v="23"/>
    <s v="Undeveloped"/>
    <s v="Building"/>
    <s v="Dhaka"/>
    <x v="0"/>
  </r>
  <r>
    <s v="Male"/>
    <n v="57"/>
    <n v="0"/>
    <n v="0"/>
    <n v="0"/>
    <x v="27"/>
    <s v="Developed"/>
    <s v="Building"/>
    <s v="Dhaka"/>
    <x v="0"/>
  </r>
  <r>
    <s v="Female"/>
    <n v="55"/>
    <n v="1"/>
    <n v="1"/>
    <n v="1"/>
    <x v="1"/>
    <s v="Undeveloped"/>
    <s v="Other"/>
    <s v="Dhaka"/>
    <x v="1"/>
  </r>
  <r>
    <s v="Female"/>
    <n v="16"/>
    <n v="1"/>
    <n v="1"/>
    <n v="0"/>
    <x v="35"/>
    <s v="Developed"/>
    <s v="Building"/>
    <s v="Dhaka"/>
    <x v="1"/>
  </r>
  <r>
    <s v="Male"/>
    <n v="25"/>
    <n v="0"/>
    <n v="0"/>
    <n v="1"/>
    <x v="14"/>
    <s v="Undeveloped"/>
    <s v="Other"/>
    <s v="Dhaka"/>
    <x v="0"/>
  </r>
  <r>
    <s v="Female"/>
    <n v="28"/>
    <n v="1"/>
    <n v="1"/>
    <n v="0"/>
    <x v="35"/>
    <s v="Developed"/>
    <s v="Other"/>
    <s v="Dhaka"/>
    <x v="1"/>
  </r>
  <r>
    <s v="Female"/>
    <n v="41"/>
    <n v="0"/>
    <n v="0"/>
    <n v="0"/>
    <x v="34"/>
    <s v="Undeveloped"/>
    <s v="Other"/>
    <s v="Dhaka"/>
    <x v="0"/>
  </r>
  <r>
    <s v="Male"/>
    <n v="52"/>
    <n v="1"/>
    <n v="1"/>
    <n v="1"/>
    <x v="21"/>
    <s v="Developed"/>
    <s v="Other"/>
    <s v="Dhaka"/>
    <x v="1"/>
  </r>
  <r>
    <s v="Male"/>
    <n v="46"/>
    <n v="1"/>
    <n v="1"/>
    <n v="0"/>
    <x v="16"/>
    <s v="Undeveloped"/>
    <s v="Tinshed"/>
    <s v="Dhaka"/>
    <x v="1"/>
  </r>
  <r>
    <s v="Female"/>
    <n v="55"/>
    <n v="0"/>
    <n v="0"/>
    <n v="1"/>
    <x v="19"/>
    <s v="Developed"/>
    <s v="Building"/>
    <s v="Dhaka"/>
    <x v="0"/>
  </r>
  <r>
    <s v="Female"/>
    <n v="53"/>
    <n v="1"/>
    <n v="1"/>
    <n v="1"/>
    <x v="7"/>
    <s v="Undeveloped"/>
    <s v="Tinshed"/>
    <s v="Dhaka"/>
    <x v="1"/>
  </r>
  <r>
    <s v="Female"/>
    <n v="42"/>
    <n v="1"/>
    <n v="1"/>
    <n v="0"/>
    <x v="31"/>
    <s v="Developed"/>
    <s v="Other"/>
    <s v="Dhaka"/>
    <x v="1"/>
  </r>
  <r>
    <s v="Female"/>
    <n v="30"/>
    <n v="0"/>
    <n v="0"/>
    <n v="0"/>
    <x v="32"/>
    <s v="Undeveloped"/>
    <s v="Building"/>
    <s v="Dhaka"/>
    <x v="0"/>
  </r>
  <r>
    <s v="Female"/>
    <n v="18"/>
    <n v="1"/>
    <n v="1"/>
    <n v="0"/>
    <x v="32"/>
    <s v="Developed"/>
    <s v="Tinshed"/>
    <s v="Dhaka"/>
    <x v="1"/>
  </r>
  <r>
    <s v="Female"/>
    <n v="44"/>
    <n v="0"/>
    <n v="0"/>
    <n v="1"/>
    <x v="29"/>
    <s v="Undeveloped"/>
    <s v="Building"/>
    <s v="Dhaka"/>
    <x v="0"/>
  </r>
  <r>
    <s v="Female"/>
    <n v="21"/>
    <n v="1"/>
    <n v="1"/>
    <n v="1"/>
    <x v="33"/>
    <s v="Developed"/>
    <s v="Tinshed"/>
    <s v="Dhaka"/>
    <x v="1"/>
  </r>
  <r>
    <s v="Male"/>
    <n v="56"/>
    <n v="0"/>
    <n v="0"/>
    <n v="0"/>
    <x v="10"/>
    <s v="Undeveloped"/>
    <s v="Building"/>
    <s v="Dhaka"/>
    <x v="0"/>
  </r>
  <r>
    <s v="Male"/>
    <n v="50"/>
    <n v="1"/>
    <n v="1"/>
    <n v="0"/>
    <x v="30"/>
    <s v="Developed"/>
    <s v="Building"/>
    <s v="Dhaka"/>
    <x v="1"/>
  </r>
  <r>
    <s v="Female"/>
    <n v="12"/>
    <n v="1"/>
    <n v="1"/>
    <n v="0"/>
    <x v="20"/>
    <s v="Undeveloped"/>
    <s v="Tinshed"/>
    <s v="Dhaka"/>
    <x v="1"/>
  </r>
  <r>
    <s v="Male"/>
    <n v="43"/>
    <n v="0"/>
    <n v="0"/>
    <n v="0"/>
    <x v="5"/>
    <s v="Developed"/>
    <s v="Other"/>
    <s v="Dhaka"/>
    <x v="0"/>
  </r>
  <r>
    <s v="Female"/>
    <n v="42"/>
    <n v="1"/>
    <n v="1"/>
    <n v="0"/>
    <x v="10"/>
    <s v="Undeveloped"/>
    <s v="Building"/>
    <s v="Dhaka"/>
    <x v="1"/>
  </r>
  <r>
    <s v="Female"/>
    <n v="38"/>
    <n v="0"/>
    <n v="1"/>
    <n v="0"/>
    <x v="15"/>
    <s v="Developed"/>
    <s v="Other"/>
    <s v="Dhaka"/>
    <x v="1"/>
  </r>
  <r>
    <s v="Male"/>
    <n v="62"/>
    <n v="1"/>
    <n v="1"/>
    <n v="0"/>
    <x v="26"/>
    <s v="Undeveloped"/>
    <s v="Tinshed"/>
    <s v="Dhaka"/>
    <x v="1"/>
  </r>
  <r>
    <s v="Female"/>
    <n v="32"/>
    <n v="0"/>
    <n v="0"/>
    <n v="0"/>
    <x v="31"/>
    <s v="Developed"/>
    <s v="Tinshed"/>
    <s v="Dhaka"/>
    <x v="0"/>
  </r>
  <r>
    <s v="Male"/>
    <n v="19"/>
    <n v="1"/>
    <n v="1"/>
    <n v="0"/>
    <x v="32"/>
    <s v="Undeveloped"/>
    <s v="Building"/>
    <s v="Dhaka"/>
    <x v="1"/>
  </r>
  <r>
    <s v="Female"/>
    <n v="19"/>
    <n v="1"/>
    <n v="1"/>
    <n v="1"/>
    <x v="8"/>
    <s v="Developed"/>
    <s v="Other"/>
    <s v="Dhaka"/>
    <x v="1"/>
  </r>
  <r>
    <s v="Male"/>
    <n v="40"/>
    <n v="1"/>
    <n v="1"/>
    <n v="1"/>
    <x v="22"/>
    <s v="Undeveloped"/>
    <s v="Other"/>
    <s v="Dhaka"/>
    <x v="1"/>
  </r>
  <r>
    <s v="Female"/>
    <n v="10"/>
    <n v="0"/>
    <n v="0"/>
    <n v="1"/>
    <x v="10"/>
    <s v="Developed"/>
    <s v="Tinshed"/>
    <s v="Dhaka"/>
    <x v="0"/>
  </r>
  <r>
    <s v="Female"/>
    <n v="20"/>
    <n v="0"/>
    <n v="0"/>
    <n v="0"/>
    <x v="6"/>
    <s v="Undeveloped"/>
    <s v="Tinshed"/>
    <s v="Dhaka"/>
    <x v="0"/>
  </r>
  <r>
    <s v="Male"/>
    <n v="26"/>
    <n v="0"/>
    <n v="0"/>
    <n v="0"/>
    <x v="7"/>
    <s v="Developed"/>
    <s v="Other"/>
    <s v="Dhaka"/>
    <x v="0"/>
  </r>
  <r>
    <s v="Male"/>
    <n v="29"/>
    <n v="0"/>
    <n v="0"/>
    <n v="0"/>
    <x v="23"/>
    <s v="Undeveloped"/>
    <s v="Tinshed"/>
    <s v="Dhaka"/>
    <x v="0"/>
  </r>
  <r>
    <s v="Male"/>
    <n v="39"/>
    <n v="1"/>
    <n v="1"/>
    <n v="1"/>
    <x v="11"/>
    <s v="Developed"/>
    <s v="Other"/>
    <s v="Dhaka"/>
    <x v="1"/>
  </r>
  <r>
    <s v="Female"/>
    <n v="65"/>
    <n v="1"/>
    <n v="1"/>
    <n v="1"/>
    <x v="24"/>
    <s v="Undeveloped"/>
    <s v="Other"/>
    <s v="Dhaka"/>
    <x v="1"/>
  </r>
  <r>
    <s v="Female"/>
    <n v="38"/>
    <n v="0"/>
    <n v="0"/>
    <n v="1"/>
    <x v="31"/>
    <s v="Developed"/>
    <s v="Other"/>
    <s v="Dhaka"/>
    <x v="0"/>
  </r>
  <r>
    <s v="Male"/>
    <n v="14"/>
    <n v="0"/>
    <n v="0"/>
    <n v="0"/>
    <x v="31"/>
    <s v="Undeveloped"/>
    <s v="Tinshed"/>
    <s v="Dhaka"/>
    <x v="0"/>
  </r>
  <r>
    <s v="Female"/>
    <n v="62"/>
    <n v="0"/>
    <n v="0"/>
    <n v="0"/>
    <x v="8"/>
    <s v="Developed"/>
    <s v="Tinshed"/>
    <s v="Dhaka"/>
    <x v="0"/>
  </r>
  <r>
    <s v="Female"/>
    <n v="37"/>
    <n v="0"/>
    <n v="0"/>
    <n v="1"/>
    <x v="22"/>
    <s v="Undeveloped"/>
    <s v="Other"/>
    <s v="Dhaka"/>
    <x v="0"/>
  </r>
  <r>
    <s v="Female"/>
    <n v="25"/>
    <n v="1"/>
    <n v="1"/>
    <n v="1"/>
    <x v="27"/>
    <s v="Developed"/>
    <s v="Tinshed"/>
    <s v="Dhaka"/>
    <x v="1"/>
  </r>
  <r>
    <s v="Female"/>
    <n v="64"/>
    <n v="1"/>
    <n v="1"/>
    <n v="0"/>
    <x v="32"/>
    <s v="Undeveloped"/>
    <s v="Tinshed"/>
    <s v="Dhaka"/>
    <x v="1"/>
  </r>
  <r>
    <s v="Female"/>
    <n v="51"/>
    <n v="1"/>
    <n v="1"/>
    <n v="1"/>
    <x v="15"/>
    <s v="Developed"/>
    <s v="Other"/>
    <s v="Dhaka"/>
    <x v="1"/>
  </r>
  <r>
    <s v="Female"/>
    <n v="11"/>
    <n v="0"/>
    <n v="0"/>
    <n v="1"/>
    <x v="0"/>
    <s v="Undeveloped"/>
    <s v="Building"/>
    <s v="Dhaka"/>
    <x v="0"/>
  </r>
  <r>
    <s v="Male"/>
    <n v="20"/>
    <n v="1"/>
    <n v="1"/>
    <n v="1"/>
    <x v="23"/>
    <s v="Developed"/>
    <s v="Building"/>
    <s v="Dhaka"/>
    <x v="1"/>
  </r>
  <r>
    <s v="Male"/>
    <n v="8"/>
    <n v="0"/>
    <n v="0"/>
    <n v="0"/>
    <x v="29"/>
    <s v="Undeveloped"/>
    <s v="Tinshed"/>
    <s v="Dhaka"/>
    <x v="0"/>
  </r>
  <r>
    <s v="Male"/>
    <n v="27"/>
    <n v="1"/>
    <n v="1"/>
    <n v="1"/>
    <x v="26"/>
    <s v="Developed"/>
    <s v="Tinshed"/>
    <s v="Dhaka"/>
    <x v="1"/>
  </r>
  <r>
    <s v="Female"/>
    <n v="44"/>
    <n v="1"/>
    <n v="1"/>
    <n v="1"/>
    <x v="3"/>
    <s v="Undeveloped"/>
    <s v="Building"/>
    <s v="Dhaka"/>
    <x v="1"/>
  </r>
  <r>
    <s v="Female"/>
    <n v="28"/>
    <n v="1"/>
    <n v="1"/>
    <n v="0"/>
    <x v="5"/>
    <s v="Developed"/>
    <s v="Tinshed"/>
    <s v="Dhaka"/>
    <x v="1"/>
  </r>
  <r>
    <s v="Male"/>
    <n v="38"/>
    <n v="0"/>
    <n v="0"/>
    <n v="0"/>
    <x v="18"/>
    <s v="Undeveloped"/>
    <s v="Tinshed"/>
    <s v="Dhaka"/>
    <x v="0"/>
  </r>
  <r>
    <s v="Male"/>
    <n v="27"/>
    <n v="0"/>
    <n v="0"/>
    <n v="0"/>
    <x v="32"/>
    <s v="Developed"/>
    <s v="Tinshed"/>
    <s v="Dhaka"/>
    <x v="0"/>
  </r>
  <r>
    <s v="Male"/>
    <n v="36"/>
    <n v="1"/>
    <n v="1"/>
    <n v="0"/>
    <x v="31"/>
    <s v="Undeveloped"/>
    <s v="Building"/>
    <s v="Dhaka"/>
    <x v="1"/>
  </r>
  <r>
    <s v="Female"/>
    <n v="65"/>
    <n v="0"/>
    <n v="0"/>
    <n v="1"/>
    <x v="2"/>
    <s v="Developed"/>
    <s v="Building"/>
    <s v="Dhaka"/>
    <x v="0"/>
  </r>
  <r>
    <s v="Female"/>
    <n v="38"/>
    <n v="1"/>
    <n v="1"/>
    <n v="0"/>
    <x v="17"/>
    <s v="Undeveloped"/>
    <s v="Other"/>
    <s v="Dhaka"/>
    <x v="1"/>
  </r>
  <r>
    <s v="Female"/>
    <n v="42"/>
    <n v="1"/>
    <n v="1"/>
    <n v="0"/>
    <x v="7"/>
    <s v="Developed"/>
    <s v="Building"/>
    <s v="Dhaka"/>
    <x v="1"/>
  </r>
  <r>
    <s v="Male"/>
    <n v="10"/>
    <n v="1"/>
    <n v="1"/>
    <n v="1"/>
    <x v="30"/>
    <s v="Undeveloped"/>
    <s v="Building"/>
    <s v="Dhaka"/>
    <x v="1"/>
  </r>
  <r>
    <s v="Male"/>
    <n v="44"/>
    <n v="0"/>
    <n v="0"/>
    <n v="0"/>
    <x v="24"/>
    <s v="Developed"/>
    <s v="Tinshed"/>
    <s v="Dhaka"/>
    <x v="0"/>
  </r>
  <r>
    <s v="Male"/>
    <n v="19"/>
    <n v="1"/>
    <n v="1"/>
    <n v="1"/>
    <x v="20"/>
    <s v="Undeveloped"/>
    <s v="Other"/>
    <s v="Dhaka"/>
    <x v="1"/>
  </r>
  <r>
    <s v="Male"/>
    <n v="18"/>
    <n v="1"/>
    <n v="1"/>
    <n v="1"/>
    <x v="18"/>
    <s v="Developed"/>
    <s v="Other"/>
    <s v="Dhaka"/>
    <x v="1"/>
  </r>
  <r>
    <s v="Male"/>
    <n v="29"/>
    <n v="0"/>
    <n v="0"/>
    <n v="1"/>
    <x v="33"/>
    <s v="Undeveloped"/>
    <s v="Other"/>
    <s v="Dhaka"/>
    <x v="0"/>
  </r>
  <r>
    <s v="Male"/>
    <n v="58"/>
    <n v="1"/>
    <n v="1"/>
    <n v="1"/>
    <x v="31"/>
    <s v="Developed"/>
    <s v="Other"/>
    <s v="Dhaka"/>
    <x v="1"/>
  </r>
  <r>
    <s v="Female"/>
    <n v="45"/>
    <n v="1"/>
    <n v="1"/>
    <n v="1"/>
    <x v="10"/>
    <s v="Undeveloped"/>
    <s v="Other"/>
    <s v="Dhaka"/>
    <x v="1"/>
  </r>
  <r>
    <s v="Female"/>
    <n v="40"/>
    <n v="1"/>
    <n v="1"/>
    <n v="0"/>
    <x v="33"/>
    <s v="Developed"/>
    <s v="Other"/>
    <s v="Dhaka"/>
    <x v="1"/>
  </r>
  <r>
    <s v="Female"/>
    <n v="20"/>
    <n v="0"/>
    <n v="0"/>
    <n v="0"/>
    <x v="20"/>
    <s v="Undeveloped"/>
    <s v="Building"/>
    <s v="Dhaka"/>
    <x v="0"/>
  </r>
  <r>
    <s v="Male"/>
    <n v="41"/>
    <n v="0"/>
    <n v="0"/>
    <n v="0"/>
    <x v="16"/>
    <s v="Developed"/>
    <s v="Building"/>
    <s v="Dhaka"/>
    <x v="0"/>
  </r>
  <r>
    <s v="Male"/>
    <n v="23"/>
    <n v="1"/>
    <n v="1"/>
    <n v="0"/>
    <x v="20"/>
    <s v="Undeveloped"/>
    <s v="Building"/>
    <s v="Dhaka"/>
    <x v="1"/>
  </r>
  <r>
    <s v="Male"/>
    <n v="29"/>
    <n v="0"/>
    <n v="0"/>
    <n v="0"/>
    <x v="34"/>
    <s v="Developed"/>
    <s v="Building"/>
    <s v="Dhaka"/>
    <x v="0"/>
  </r>
  <r>
    <s v="Male"/>
    <n v="48"/>
    <n v="1"/>
    <n v="1"/>
    <n v="1"/>
    <x v="19"/>
    <s v="Undeveloped"/>
    <s v="Building"/>
    <s v="Dhaka"/>
    <x v="1"/>
  </r>
  <r>
    <s v="Female"/>
    <n v="17"/>
    <n v="0"/>
    <n v="0"/>
    <n v="0"/>
    <x v="32"/>
    <s v="Developed"/>
    <s v="Building"/>
    <s v="Dhaka"/>
    <x v="0"/>
  </r>
  <r>
    <s v="Female"/>
    <n v="62"/>
    <n v="0"/>
    <n v="0"/>
    <n v="0"/>
    <x v="3"/>
    <s v="Undeveloped"/>
    <s v="Tinshed"/>
    <s v="Dhaka"/>
    <x v="0"/>
  </r>
  <r>
    <s v="Female"/>
    <n v="34"/>
    <n v="1"/>
    <n v="1"/>
    <n v="0"/>
    <x v="3"/>
    <s v="Developed"/>
    <s v="Tinshed"/>
    <s v="Dhaka"/>
    <x v="1"/>
  </r>
  <r>
    <s v="Female"/>
    <n v="8"/>
    <n v="1"/>
    <n v="1"/>
    <n v="0"/>
    <x v="2"/>
    <s v="Undeveloped"/>
    <s v="Tinshed"/>
    <s v="Dhaka"/>
    <x v="1"/>
  </r>
  <r>
    <s v="Male"/>
    <n v="22"/>
    <n v="0"/>
    <n v="0"/>
    <n v="0"/>
    <x v="4"/>
    <s v="Developed"/>
    <s v="Building"/>
    <s v="Dhaka"/>
    <x v="0"/>
  </r>
  <r>
    <s v="Male"/>
    <n v="23"/>
    <n v="0"/>
    <n v="0"/>
    <n v="1"/>
    <x v="29"/>
    <s v="Undeveloped"/>
    <s v="Other"/>
    <s v="Dhaka"/>
    <x v="0"/>
  </r>
  <r>
    <s v="Male"/>
    <n v="47"/>
    <n v="0"/>
    <n v="0"/>
    <n v="0"/>
    <x v="12"/>
    <s v="Developed"/>
    <s v="Tinshed"/>
    <s v="Dhaka"/>
    <x v="0"/>
  </r>
  <r>
    <s v="Male"/>
    <n v="50"/>
    <n v="0"/>
    <n v="0"/>
    <n v="1"/>
    <x v="33"/>
    <s v="Undeveloped"/>
    <s v="Tinshed"/>
    <s v="Dhaka"/>
    <x v="0"/>
  </r>
  <r>
    <s v="Male"/>
    <n v="15"/>
    <n v="0"/>
    <n v="0"/>
    <n v="0"/>
    <x v="26"/>
    <s v="Developed"/>
    <s v="Building"/>
    <s v="Dhaka"/>
    <x v="0"/>
  </r>
  <r>
    <s v="Male"/>
    <n v="11"/>
    <n v="1"/>
    <n v="1"/>
    <n v="0"/>
    <x v="32"/>
    <s v="Undeveloped"/>
    <s v="Tinshed"/>
    <s v="Dhaka"/>
    <x v="1"/>
  </r>
  <r>
    <s v="Female"/>
    <n v="46"/>
    <n v="1"/>
    <n v="1"/>
    <n v="0"/>
    <x v="14"/>
    <s v="Developed"/>
    <s v="Building"/>
    <s v="Dhaka"/>
    <x v="1"/>
  </r>
  <r>
    <s v="Female"/>
    <n v="52"/>
    <n v="1"/>
    <n v="1"/>
    <n v="0"/>
    <x v="21"/>
    <s v="Undeveloped"/>
    <s v="Tinshed"/>
    <s v="Dhaka"/>
    <x v="1"/>
  </r>
  <r>
    <s v="Male"/>
    <n v="44"/>
    <n v="0"/>
    <n v="0"/>
    <n v="1"/>
    <x v="24"/>
    <s v="Developed"/>
    <s v="Tinshed"/>
    <s v="Dhaka"/>
    <x v="0"/>
  </r>
  <r>
    <s v="Male"/>
    <n v="12"/>
    <n v="0"/>
    <n v="0"/>
    <n v="1"/>
    <x v="21"/>
    <s v="Undeveloped"/>
    <s v="Other"/>
    <s v="Dhaka"/>
    <x v="0"/>
  </r>
  <r>
    <s v="Female"/>
    <n v="30"/>
    <n v="0"/>
    <n v="0"/>
    <n v="0"/>
    <x v="5"/>
    <s v="Developed"/>
    <s v="Building"/>
    <s v="Dhaka"/>
    <x v="0"/>
  </r>
  <r>
    <s v="Male"/>
    <n v="41"/>
    <n v="0"/>
    <n v="0"/>
    <n v="0"/>
    <x v="9"/>
    <s v="Undeveloped"/>
    <s v="Other"/>
    <s v="Dhaka"/>
    <x v="0"/>
  </r>
  <r>
    <s v="Male"/>
    <n v="62"/>
    <n v="1"/>
    <n v="1"/>
    <n v="0"/>
    <x v="5"/>
    <s v="Developed"/>
    <s v="Tinshed"/>
    <s v="Dhaka"/>
    <x v="1"/>
  </r>
  <r>
    <s v="Male"/>
    <n v="42"/>
    <n v="1"/>
    <n v="1"/>
    <n v="0"/>
    <x v="28"/>
    <s v="Undeveloped"/>
    <s v="Other"/>
    <s v="Dhaka"/>
    <x v="1"/>
  </r>
  <r>
    <s v="Female"/>
    <n v="38"/>
    <n v="1"/>
    <n v="1"/>
    <n v="0"/>
    <x v="5"/>
    <s v="Developed"/>
    <s v="Building"/>
    <s v="Dhaka"/>
    <x v="1"/>
  </r>
  <r>
    <s v="Male"/>
    <n v="46"/>
    <n v="0"/>
    <n v="0"/>
    <n v="0"/>
    <x v="29"/>
    <s v="Undeveloped"/>
    <s v="Tinshed"/>
    <s v="Dhaka"/>
    <x v="0"/>
  </r>
  <r>
    <s v="Male"/>
    <n v="44"/>
    <n v="0"/>
    <n v="0"/>
    <n v="0"/>
    <x v="26"/>
    <s v="Developed"/>
    <s v="Other"/>
    <s v="Dhaka"/>
    <x v="0"/>
  </r>
  <r>
    <s v="Female"/>
    <n v="48"/>
    <n v="1"/>
    <n v="1"/>
    <n v="0"/>
    <x v="10"/>
    <s v="Undeveloped"/>
    <s v="Other"/>
    <s v="Dhaka"/>
    <x v="1"/>
  </r>
  <r>
    <s v="Male"/>
    <n v="42"/>
    <n v="0"/>
    <n v="0"/>
    <n v="1"/>
    <x v="15"/>
    <s v="Developed"/>
    <s v="Building"/>
    <s v="Dhaka"/>
    <x v="0"/>
  </r>
  <r>
    <s v="Male"/>
    <n v="41"/>
    <n v="1"/>
    <n v="1"/>
    <n v="0"/>
    <x v="0"/>
    <s v="Undeveloped"/>
    <s v="Tinshed"/>
    <s v="Dhaka"/>
    <x v="1"/>
  </r>
  <r>
    <s v="Male"/>
    <n v="15"/>
    <n v="0"/>
    <n v="0"/>
    <n v="0"/>
    <x v="27"/>
    <s v="Developed"/>
    <s v="Tinshed"/>
    <s v="Dhaka"/>
    <x v="0"/>
  </r>
  <r>
    <s v="Male"/>
    <n v="15"/>
    <n v="1"/>
    <n v="1"/>
    <n v="1"/>
    <x v="14"/>
    <s v="Undeveloped"/>
    <s v="Other"/>
    <s v="Dhaka"/>
    <x v="1"/>
  </r>
  <r>
    <s v="Male"/>
    <n v="64"/>
    <n v="0"/>
    <n v="0"/>
    <n v="1"/>
    <x v="14"/>
    <s v="Developed"/>
    <s v="Building"/>
    <s v="Dhaka"/>
    <x v="0"/>
  </r>
  <r>
    <s v="Male"/>
    <n v="16"/>
    <n v="1"/>
    <n v="1"/>
    <n v="0"/>
    <x v="33"/>
    <s v="Undeveloped"/>
    <s v="Building"/>
    <s v="Dhaka"/>
    <x v="1"/>
  </r>
  <r>
    <s v="Male"/>
    <n v="19"/>
    <n v="1"/>
    <n v="1"/>
    <n v="0"/>
    <x v="17"/>
    <s v="Developed"/>
    <s v="Building"/>
    <s v="Dhaka"/>
    <x v="1"/>
  </r>
  <r>
    <s v="Male"/>
    <n v="56"/>
    <n v="0"/>
    <n v="0"/>
    <n v="0"/>
    <x v="34"/>
    <s v="Undeveloped"/>
    <s v="Building"/>
    <s v="Dhaka"/>
    <x v="0"/>
  </r>
  <r>
    <s v="Female"/>
    <n v="65"/>
    <n v="1"/>
    <n v="1"/>
    <n v="1"/>
    <x v="26"/>
    <s v="Developed"/>
    <s v="Tinshed"/>
    <s v="Dhaka"/>
    <x v="1"/>
  </r>
  <r>
    <s v="Male"/>
    <n v="57"/>
    <n v="1"/>
    <n v="1"/>
    <n v="1"/>
    <x v="34"/>
    <s v="Undeveloped"/>
    <s v="Tinshed"/>
    <s v="Dhaka"/>
    <x v="1"/>
  </r>
  <r>
    <s v="Male"/>
    <n v="24"/>
    <n v="0"/>
    <n v="0"/>
    <n v="0"/>
    <x v="4"/>
    <s v="Developed"/>
    <s v="Tinshed"/>
    <s v="Dhaka"/>
    <x v="0"/>
  </r>
  <r>
    <s v="Male"/>
    <n v="38"/>
    <n v="0"/>
    <n v="0"/>
    <n v="1"/>
    <x v="34"/>
    <s v="Undeveloped"/>
    <s v="Other"/>
    <s v="Dhaka"/>
    <x v="0"/>
  </r>
  <r>
    <s v="Female"/>
    <n v="39"/>
    <n v="0"/>
    <n v="0"/>
    <n v="1"/>
    <x v="12"/>
    <s v="Developed"/>
    <s v="Tinshed"/>
    <s v="Dhaka"/>
    <x v="0"/>
  </r>
  <r>
    <s v="Female"/>
    <n v="64"/>
    <n v="0"/>
    <n v="0"/>
    <n v="0"/>
    <x v="27"/>
    <s v="Undeveloped"/>
    <s v="Tinshed"/>
    <s v="Dhaka"/>
    <x v="0"/>
  </r>
  <r>
    <s v="Male"/>
    <n v="39"/>
    <n v="1"/>
    <n v="1"/>
    <n v="1"/>
    <x v="3"/>
    <s v="Developed"/>
    <s v="Building"/>
    <s v="Dhaka"/>
    <x v="1"/>
  </r>
  <r>
    <s v="Male"/>
    <n v="33"/>
    <n v="1"/>
    <n v="1"/>
    <n v="0"/>
    <x v="16"/>
    <s v="Undeveloped"/>
    <s v="Other"/>
    <s v="Dhaka"/>
    <x v="1"/>
  </r>
  <r>
    <s v="Male"/>
    <n v="49"/>
    <n v="1"/>
    <n v="1"/>
    <n v="0"/>
    <x v="3"/>
    <s v="Developed"/>
    <s v="Building"/>
    <s v="Dhaka"/>
    <x v="1"/>
  </r>
  <r>
    <s v="Female"/>
    <n v="22"/>
    <n v="1"/>
    <n v="1"/>
    <n v="1"/>
    <x v="21"/>
    <s v="Undeveloped"/>
    <s v="Tinshed"/>
    <s v="Dhaka"/>
    <x v="1"/>
  </r>
  <r>
    <s v="Female"/>
    <n v="29"/>
    <n v="0"/>
    <n v="0"/>
    <n v="0"/>
    <x v="17"/>
    <s v="Developed"/>
    <s v="Building"/>
    <s v="Dhaka"/>
    <x v="0"/>
  </r>
  <r>
    <s v="Female"/>
    <n v="22"/>
    <n v="1"/>
    <n v="1"/>
    <n v="0"/>
    <x v="8"/>
    <s v="Undeveloped"/>
    <s v="Building"/>
    <s v="Dhaka"/>
    <x v="1"/>
  </r>
  <r>
    <s v="Female"/>
    <n v="13"/>
    <n v="1"/>
    <n v="1"/>
    <n v="0"/>
    <x v="29"/>
    <s v="Developed"/>
    <s v="Other"/>
    <s v="Dhaka"/>
    <x v="1"/>
  </r>
  <r>
    <s v="Female"/>
    <n v="11"/>
    <n v="1"/>
    <n v="1"/>
    <n v="0"/>
    <x v="32"/>
    <s v="Undeveloped"/>
    <s v="Building"/>
    <s v="Dhaka"/>
    <x v="1"/>
  </r>
  <r>
    <s v="Male"/>
    <n v="41"/>
    <n v="1"/>
    <n v="1"/>
    <n v="1"/>
    <x v="31"/>
    <s v="Developed"/>
    <s v="Building"/>
    <s v="Dhaka"/>
    <x v="1"/>
  </r>
  <r>
    <s v="Male"/>
    <n v="61"/>
    <n v="1"/>
    <n v="1"/>
    <n v="1"/>
    <x v="23"/>
    <s v="Undeveloped"/>
    <s v="Other"/>
    <s v="Dhaka"/>
    <x v="1"/>
  </r>
  <r>
    <s v="Male"/>
    <n v="60"/>
    <n v="0"/>
    <n v="0"/>
    <n v="1"/>
    <x v="0"/>
    <s v="Developed"/>
    <s v="Tinshed"/>
    <s v="Dhaka"/>
    <x v="0"/>
  </r>
  <r>
    <s v="Female"/>
    <n v="21"/>
    <n v="1"/>
    <n v="1"/>
    <n v="0"/>
    <x v="0"/>
    <s v="Undeveloped"/>
    <s v="Building"/>
    <s v="Dhaka"/>
    <x v="1"/>
  </r>
  <r>
    <s v="Female"/>
    <n v="25"/>
    <n v="1"/>
    <n v="1"/>
    <n v="1"/>
    <x v="17"/>
    <s v="Developed"/>
    <s v="Tinshed"/>
    <s v="Dhaka"/>
    <x v="1"/>
  </r>
  <r>
    <s v="Female"/>
    <n v="57"/>
    <n v="1"/>
    <n v="1"/>
    <n v="0"/>
    <x v="25"/>
    <s v="Undeveloped"/>
    <s v="Tinshed"/>
    <s v="Dhaka"/>
    <x v="1"/>
  </r>
  <r>
    <s v="Male"/>
    <n v="22"/>
    <n v="1"/>
    <n v="1"/>
    <n v="1"/>
    <x v="5"/>
    <s v="Developed"/>
    <s v="Building"/>
    <s v="Dhaka"/>
    <x v="1"/>
  </r>
  <r>
    <s v="Male"/>
    <n v="9"/>
    <n v="1"/>
    <n v="1"/>
    <n v="0"/>
    <x v="10"/>
    <s v="Undeveloped"/>
    <s v="Other"/>
    <s v="Dhaka"/>
    <x v="1"/>
  </r>
  <r>
    <s v="Male"/>
    <n v="56"/>
    <n v="0"/>
    <n v="0"/>
    <n v="1"/>
    <x v="32"/>
    <s v="Developed"/>
    <s v="Other"/>
    <s v="Dhaka"/>
    <x v="0"/>
  </r>
  <r>
    <s v="Female"/>
    <n v="44"/>
    <n v="1"/>
    <n v="1"/>
    <n v="0"/>
    <x v="29"/>
    <s v="Undeveloped"/>
    <s v="Building"/>
    <s v="Dhaka"/>
    <x v="1"/>
  </r>
  <r>
    <s v="Female"/>
    <n v="59"/>
    <n v="1"/>
    <n v="1"/>
    <n v="0"/>
    <x v="14"/>
    <s v="Developed"/>
    <s v="Building"/>
    <s v="Dhaka"/>
    <x v="1"/>
  </r>
  <r>
    <s v="Female"/>
    <n v="40"/>
    <n v="0"/>
    <n v="0"/>
    <n v="0"/>
    <x v="33"/>
    <s v="Undeveloped"/>
    <s v="Building"/>
    <s v="Dhaka"/>
    <x v="0"/>
  </r>
  <r>
    <s v="Female"/>
    <n v="64"/>
    <n v="1"/>
    <n v="1"/>
    <n v="0"/>
    <x v="15"/>
    <s v="Developed"/>
    <s v="Tinshed"/>
    <s v="Dhaka"/>
    <x v="1"/>
  </r>
  <r>
    <s v="Male"/>
    <n v="62"/>
    <n v="1"/>
    <n v="1"/>
    <n v="0"/>
    <x v="25"/>
    <s v="Undeveloped"/>
    <s v="Other"/>
    <s v="Dhaka"/>
    <x v="1"/>
  </r>
  <r>
    <s v="Female"/>
    <n v="40"/>
    <n v="1"/>
    <n v="1"/>
    <n v="1"/>
    <x v="4"/>
    <s v="Developed"/>
    <s v="Building"/>
    <s v="Dhaka"/>
    <x v="1"/>
  </r>
  <r>
    <s v="Female"/>
    <n v="26"/>
    <n v="1"/>
    <n v="1"/>
    <n v="1"/>
    <x v="24"/>
    <s v="Undeveloped"/>
    <s v="Tinshed"/>
    <s v="Dhaka"/>
    <x v="1"/>
  </r>
  <r>
    <s v="Male"/>
    <n v="47"/>
    <n v="1"/>
    <n v="1"/>
    <n v="1"/>
    <x v="19"/>
    <s v="Developed"/>
    <s v="Building"/>
    <s v="Dhaka"/>
    <x v="1"/>
  </r>
  <r>
    <s v="Male"/>
    <n v="56"/>
    <n v="0"/>
    <n v="0"/>
    <n v="0"/>
    <x v="21"/>
    <s v="Undeveloped"/>
    <s v="Other"/>
    <s v="Dhaka"/>
    <x v="0"/>
  </r>
  <r>
    <s v="Female"/>
    <n v="19"/>
    <n v="1"/>
    <n v="1"/>
    <n v="1"/>
    <x v="31"/>
    <s v="Developed"/>
    <s v="Other"/>
    <s v="Dhaka"/>
    <x v="1"/>
  </r>
  <r>
    <s v="Male"/>
    <n v="17"/>
    <n v="0"/>
    <n v="0"/>
    <n v="1"/>
    <x v="3"/>
    <s v="Undeveloped"/>
    <s v="Building"/>
    <s v="Dhaka"/>
    <x v="0"/>
  </r>
  <r>
    <s v="Female"/>
    <n v="57"/>
    <n v="1"/>
    <n v="1"/>
    <n v="0"/>
    <x v="18"/>
    <s v="Developed"/>
    <s v="Building"/>
    <s v="Dhaka"/>
    <x v="1"/>
  </r>
  <r>
    <s v="Male"/>
    <n v="47"/>
    <n v="1"/>
    <n v="1"/>
    <n v="1"/>
    <x v="8"/>
    <s v="Undeveloped"/>
    <s v="Tinshed"/>
    <s v="Dhaka"/>
    <x v="1"/>
  </r>
  <r>
    <s v="Male"/>
    <n v="44"/>
    <n v="1"/>
    <n v="1"/>
    <n v="0"/>
    <x v="15"/>
    <s v="Developed"/>
    <s v="Building"/>
    <s v="Dhaka"/>
    <x v="1"/>
  </r>
  <r>
    <s v="Female"/>
    <n v="18"/>
    <n v="0"/>
    <n v="0"/>
    <n v="0"/>
    <x v="2"/>
    <s v="Undeveloped"/>
    <s v="Building"/>
    <s v="Dhaka"/>
    <x v="0"/>
  </r>
  <r>
    <s v="Male"/>
    <n v="44"/>
    <n v="1"/>
    <n v="1"/>
    <n v="0"/>
    <x v="26"/>
    <s v="Developed"/>
    <s v="Tinshed"/>
    <s v="Dhaka"/>
    <x v="1"/>
  </r>
  <r>
    <s v="Female"/>
    <n v="20"/>
    <n v="1"/>
    <n v="1"/>
    <n v="1"/>
    <x v="34"/>
    <s v="Undeveloped"/>
    <s v="Building"/>
    <s v="Dhaka"/>
    <x v="1"/>
  </r>
  <r>
    <s v="Female"/>
    <n v="60"/>
    <n v="0"/>
    <n v="0"/>
    <n v="1"/>
    <x v="22"/>
    <s v="Developed"/>
    <s v="Other"/>
    <s v="Dhaka"/>
    <x v="0"/>
  </r>
  <r>
    <s v="Male"/>
    <n v="61"/>
    <n v="0"/>
    <n v="0"/>
    <n v="0"/>
    <x v="29"/>
    <s v="Undeveloped"/>
    <s v="Other"/>
    <s v="Dhaka"/>
    <x v="0"/>
  </r>
  <r>
    <s v="Female"/>
    <n v="47"/>
    <n v="0"/>
    <n v="0"/>
    <n v="0"/>
    <x v="19"/>
    <s v="Developed"/>
    <s v="Other"/>
    <s v="Dhaka"/>
    <x v="0"/>
  </r>
  <r>
    <s v="Female"/>
    <n v="15"/>
    <n v="1"/>
    <n v="1"/>
    <n v="1"/>
    <x v="9"/>
    <s v="Undeveloped"/>
    <s v="Tinshed"/>
    <s v="Dhaka"/>
    <x v="1"/>
  </r>
  <r>
    <s v="Male"/>
    <n v="58"/>
    <n v="0"/>
    <n v="0"/>
    <n v="1"/>
    <x v="17"/>
    <s v="Developed"/>
    <s v="Other"/>
    <s v="Dhaka"/>
    <x v="0"/>
  </r>
  <r>
    <s v="Male"/>
    <n v="64"/>
    <n v="0"/>
    <n v="0"/>
    <n v="0"/>
    <x v="17"/>
    <s v="Undeveloped"/>
    <s v="Building"/>
    <s v="Dhaka"/>
    <x v="0"/>
  </r>
  <r>
    <s v="Female"/>
    <n v="50"/>
    <n v="1"/>
    <n v="1"/>
    <n v="1"/>
    <x v="20"/>
    <s v="Developed"/>
    <s v="Tinshed"/>
    <s v="Dhaka"/>
    <x v="1"/>
  </r>
  <r>
    <s v="Female"/>
    <n v="52"/>
    <n v="1"/>
    <n v="1"/>
    <n v="1"/>
    <x v="21"/>
    <s v="Undeveloped"/>
    <s v="Building"/>
    <s v="Dhaka"/>
    <x v="1"/>
  </r>
  <r>
    <s v="Male"/>
    <n v="59"/>
    <n v="1"/>
    <n v="1"/>
    <n v="0"/>
    <x v="4"/>
    <s v="Developed"/>
    <s v="Tinshed"/>
    <s v="Dhaka"/>
    <x v="1"/>
  </r>
  <r>
    <s v="Female"/>
    <n v="51"/>
    <n v="0"/>
    <n v="0"/>
    <n v="1"/>
    <x v="26"/>
    <s v="Undeveloped"/>
    <s v="Building"/>
    <s v="Dhaka"/>
    <x v="0"/>
  </r>
  <r>
    <s v="Male"/>
    <n v="16"/>
    <n v="0"/>
    <n v="0"/>
    <n v="1"/>
    <x v="10"/>
    <s v="Developed"/>
    <s v="Building"/>
    <s v="Dhaka"/>
    <x v="0"/>
  </r>
  <r>
    <s v="Female"/>
    <n v="20"/>
    <n v="0"/>
    <n v="0"/>
    <n v="1"/>
    <x v="11"/>
    <s v="Undeveloped"/>
    <s v="Building"/>
    <s v="Dhaka"/>
    <x v="0"/>
  </r>
  <r>
    <s v="Male"/>
    <n v="48"/>
    <n v="1"/>
    <n v="1"/>
    <n v="1"/>
    <x v="8"/>
    <s v="Developed"/>
    <s v="Tinshed"/>
    <s v="Dhaka"/>
    <x v="1"/>
  </r>
  <r>
    <s v="Male"/>
    <n v="31"/>
    <n v="0"/>
    <n v="0"/>
    <n v="0"/>
    <x v="6"/>
    <s v="Undeveloped"/>
    <s v="Tinshed"/>
    <s v="Dhaka"/>
    <x v="0"/>
  </r>
  <r>
    <s v="Male"/>
    <n v="53"/>
    <n v="1"/>
    <n v="1"/>
    <n v="1"/>
    <x v="15"/>
    <s v="Developed"/>
    <s v="Other"/>
    <s v="Dhaka"/>
    <x v="1"/>
  </r>
  <r>
    <s v="Female"/>
    <n v="42"/>
    <n v="1"/>
    <n v="1"/>
    <n v="0"/>
    <x v="9"/>
    <s v="Undeveloped"/>
    <s v="Building"/>
    <s v="Dhaka"/>
    <x v="1"/>
  </r>
  <r>
    <s v="Female"/>
    <n v="9"/>
    <n v="1"/>
    <n v="1"/>
    <n v="1"/>
    <x v="35"/>
    <s v="Developed"/>
    <s v="Building"/>
    <s v="Dhaka"/>
    <x v="1"/>
  </r>
  <r>
    <s v="Female"/>
    <n v="8"/>
    <n v="1"/>
    <n v="1"/>
    <n v="1"/>
    <x v="5"/>
    <s v="Undeveloped"/>
    <s v="Other"/>
    <s v="Dhaka"/>
    <x v="1"/>
  </r>
  <r>
    <s v="Female"/>
    <n v="17"/>
    <n v="0"/>
    <n v="0"/>
    <n v="1"/>
    <x v="5"/>
    <s v="Developed"/>
    <s v="Building"/>
    <s v="Dhaka"/>
    <x v="0"/>
  </r>
  <r>
    <s v="Female"/>
    <n v="16"/>
    <n v="1"/>
    <n v="1"/>
    <n v="0"/>
    <x v="6"/>
    <s v="Undeveloped"/>
    <s v="Tinshed"/>
    <s v="Dhaka"/>
    <x v="1"/>
  </r>
  <r>
    <s v="Female"/>
    <n v="15"/>
    <n v="1"/>
    <n v="1"/>
    <n v="1"/>
    <x v="27"/>
    <s v="Developed"/>
    <s v="Other"/>
    <s v="Dhaka"/>
    <x v="1"/>
  </r>
  <r>
    <s v="Female"/>
    <n v="63"/>
    <n v="0"/>
    <n v="0"/>
    <n v="1"/>
    <x v="3"/>
    <s v="Undeveloped"/>
    <s v="Building"/>
    <s v="Dhaka"/>
    <x v="0"/>
  </r>
  <r>
    <s v="Male"/>
    <n v="35"/>
    <n v="1"/>
    <n v="1"/>
    <n v="1"/>
    <x v="26"/>
    <s v="Developed"/>
    <s v="Other"/>
    <s v="Dhaka"/>
    <x v="1"/>
  </r>
  <r>
    <s v="Male"/>
    <n v="51"/>
    <n v="0"/>
    <n v="0"/>
    <n v="0"/>
    <x v="26"/>
    <s v="Undeveloped"/>
    <s v="Building"/>
    <s v="Dhaka"/>
    <x v="0"/>
  </r>
  <r>
    <s v="Male"/>
    <n v="33"/>
    <n v="0"/>
    <n v="0"/>
    <n v="0"/>
    <x v="12"/>
    <s v="Developed"/>
    <s v="Other"/>
    <s v="Dhaka"/>
    <x v="0"/>
  </r>
  <r>
    <s v="Female"/>
    <n v="17"/>
    <n v="1"/>
    <n v="1"/>
    <n v="1"/>
    <x v="32"/>
    <s v="Undeveloped"/>
    <s v="Other"/>
    <s v="Dhaka"/>
    <x v="1"/>
  </r>
  <r>
    <s v="Female"/>
    <n v="50"/>
    <n v="0"/>
    <n v="0"/>
    <n v="1"/>
    <x v="25"/>
    <s v="Developed"/>
    <s v="Building"/>
    <s v="Dhaka"/>
    <x v="0"/>
  </r>
  <r>
    <s v="Female"/>
    <n v="34"/>
    <n v="1"/>
    <n v="1"/>
    <n v="1"/>
    <x v="28"/>
    <s v="Undeveloped"/>
    <s v="Building"/>
    <s v="Dhaka"/>
    <x v="1"/>
  </r>
  <r>
    <s v="Female"/>
    <n v="26"/>
    <n v="1"/>
    <n v="1"/>
    <n v="1"/>
    <x v="21"/>
    <s v="Developed"/>
    <s v="Tinshed"/>
    <s v="Dhaka"/>
    <x v="1"/>
  </r>
  <r>
    <s v="Female"/>
    <n v="25"/>
    <n v="0"/>
    <n v="0"/>
    <n v="1"/>
    <x v="30"/>
    <s v="Undeveloped"/>
    <s v="Other"/>
    <s v="Dhaka"/>
    <x v="0"/>
  </r>
  <r>
    <s v="Male"/>
    <n v="58"/>
    <n v="0"/>
    <n v="0"/>
    <n v="0"/>
    <x v="5"/>
    <s v="Developed"/>
    <s v="Tinshed"/>
    <s v="Dhaka"/>
    <x v="0"/>
  </r>
  <r>
    <s v="Female"/>
    <n v="29"/>
    <n v="1"/>
    <n v="1"/>
    <n v="1"/>
    <x v="22"/>
    <s v="Undeveloped"/>
    <s v="Other"/>
    <s v="Dhaka"/>
    <x v="1"/>
  </r>
  <r>
    <s v="Male"/>
    <n v="38"/>
    <n v="0"/>
    <n v="0"/>
    <n v="0"/>
    <x v="27"/>
    <s v="Developed"/>
    <s v="Tinshed"/>
    <s v="Dhaka"/>
    <x v="0"/>
  </r>
  <r>
    <s v="Female"/>
    <n v="17"/>
    <n v="1"/>
    <n v="1"/>
    <n v="0"/>
    <x v="26"/>
    <s v="Undeveloped"/>
    <s v="Building"/>
    <s v="Dhaka"/>
    <x v="1"/>
  </r>
  <r>
    <s v="Female"/>
    <n v="59"/>
    <n v="0"/>
    <n v="0"/>
    <n v="1"/>
    <x v="3"/>
    <s v="Developed"/>
    <s v="Building"/>
    <s v="Dhaka"/>
    <x v="0"/>
  </r>
  <r>
    <s v="Female"/>
    <n v="22"/>
    <n v="0"/>
    <n v="0"/>
    <n v="1"/>
    <x v="19"/>
    <s v="Undeveloped"/>
    <s v="Tinshed"/>
    <s v="Dhaka"/>
    <x v="0"/>
  </r>
  <r>
    <s v="Female"/>
    <n v="18"/>
    <n v="1"/>
    <n v="1"/>
    <n v="0"/>
    <x v="5"/>
    <s v="Developed"/>
    <s v="Other"/>
    <s v="Dhaka"/>
    <x v="1"/>
  </r>
  <r>
    <s v="Female"/>
    <n v="45"/>
    <n v="0"/>
    <n v="0"/>
    <n v="0"/>
    <x v="31"/>
    <s v="Undeveloped"/>
    <s v="Tinshed"/>
    <s v="Dhaka"/>
    <x v="0"/>
  </r>
  <r>
    <s v="Female"/>
    <n v="9"/>
    <n v="1"/>
    <n v="1"/>
    <n v="0"/>
    <x v="25"/>
    <s v="Developed"/>
    <s v="Tinshed"/>
    <s v="Dhaka"/>
    <x v="1"/>
  </r>
  <r>
    <s v="Male"/>
    <n v="50"/>
    <n v="0"/>
    <n v="0"/>
    <n v="1"/>
    <x v="2"/>
    <s v="Undeveloped"/>
    <s v="Other"/>
    <s v="Dhaka"/>
    <x v="0"/>
  </r>
  <r>
    <s v="Female"/>
    <n v="50"/>
    <n v="1"/>
    <n v="1"/>
    <n v="0"/>
    <x v="14"/>
    <s v="Developed"/>
    <s v="Tinshed"/>
    <s v="Dhaka"/>
    <x v="1"/>
  </r>
  <r>
    <s v="Male"/>
    <n v="14"/>
    <n v="0"/>
    <n v="0"/>
    <n v="0"/>
    <x v="24"/>
    <s v="Undeveloped"/>
    <s v="Building"/>
    <s v="Dhaka"/>
    <x v="0"/>
  </r>
  <r>
    <s v="Female"/>
    <n v="40"/>
    <n v="0"/>
    <n v="0"/>
    <n v="1"/>
    <x v="0"/>
    <s v="Developed"/>
    <s v="Other"/>
    <s v="Dhaka"/>
    <x v="0"/>
  </r>
  <r>
    <s v="Female"/>
    <n v="62"/>
    <n v="0"/>
    <n v="0"/>
    <n v="1"/>
    <x v="1"/>
    <s v="Undeveloped"/>
    <s v="Building"/>
    <s v="Dhaka"/>
    <x v="0"/>
  </r>
  <r>
    <s v="Female"/>
    <n v="40"/>
    <n v="1"/>
    <n v="1"/>
    <n v="1"/>
    <x v="1"/>
    <s v="Developed"/>
    <s v="Other"/>
    <s v="Dhaka"/>
    <x v="1"/>
  </r>
  <r>
    <s v="Male"/>
    <n v="24"/>
    <n v="0"/>
    <n v="0"/>
    <n v="1"/>
    <x v="7"/>
    <s v="Undeveloped"/>
    <s v="Tinshed"/>
    <s v="Dhaka"/>
    <x v="0"/>
  </r>
  <r>
    <s v="Male"/>
    <n v="21"/>
    <n v="0"/>
    <n v="0"/>
    <n v="1"/>
    <x v="21"/>
    <s v="Developed"/>
    <s v="Other"/>
    <s v="Dhaka"/>
    <x v="0"/>
  </r>
  <r>
    <s v="Male"/>
    <n v="62"/>
    <n v="1"/>
    <n v="1"/>
    <n v="0"/>
    <x v="10"/>
    <s v="Undeveloped"/>
    <s v="Other"/>
    <s v="Dhaka"/>
    <x v="1"/>
  </r>
  <r>
    <s v="Male"/>
    <n v="16"/>
    <n v="1"/>
    <n v="1"/>
    <n v="1"/>
    <x v="1"/>
    <s v="Developed"/>
    <s v="Building"/>
    <s v="Dhaka"/>
    <x v="1"/>
  </r>
  <r>
    <s v="Male"/>
    <n v="11"/>
    <n v="0"/>
    <n v="0"/>
    <n v="0"/>
    <x v="18"/>
    <s v="Undeveloped"/>
    <s v="Building"/>
    <s v="Dhaka"/>
    <x v="0"/>
  </r>
  <r>
    <s v="Male"/>
    <n v="30"/>
    <n v="1"/>
    <n v="1"/>
    <n v="0"/>
    <x v="1"/>
    <s v="Developed"/>
    <s v="Other"/>
    <s v="Dhaka"/>
    <x v="1"/>
  </r>
  <r>
    <s v="Male"/>
    <n v="55"/>
    <n v="0"/>
    <n v="0"/>
    <n v="0"/>
    <x v="11"/>
    <s v="Undeveloped"/>
    <s v="Tinshed"/>
    <s v="Dhaka"/>
    <x v="0"/>
  </r>
  <r>
    <s v="Male"/>
    <n v="24"/>
    <n v="0"/>
    <n v="0"/>
    <n v="1"/>
    <x v="23"/>
    <s v="Developed"/>
    <s v="Other"/>
    <s v="Dhaka"/>
    <x v="0"/>
  </r>
  <r>
    <s v="Female"/>
    <n v="54"/>
    <n v="0"/>
    <n v="0"/>
    <n v="1"/>
    <x v="35"/>
    <s v="Undeveloped"/>
    <s v="Other"/>
    <s v="Dhaka"/>
    <x v="0"/>
  </r>
  <r>
    <s v="Male"/>
    <n v="29"/>
    <n v="1"/>
    <n v="1"/>
    <n v="0"/>
    <x v="26"/>
    <s v="Developed"/>
    <s v="Tinshed"/>
    <s v="Dhaka"/>
    <x v="1"/>
  </r>
  <r>
    <s v="Female"/>
    <n v="20"/>
    <n v="0"/>
    <n v="0"/>
    <n v="1"/>
    <x v="11"/>
    <s v="Undeveloped"/>
    <s v="Tinshed"/>
    <s v="Dhaka"/>
    <x v="0"/>
  </r>
  <r>
    <s v="Male"/>
    <n v="57"/>
    <n v="1"/>
    <n v="1"/>
    <n v="1"/>
    <x v="28"/>
    <s v="Developed"/>
    <s v="Tinshed"/>
    <s v="Dhaka"/>
    <x v="1"/>
  </r>
  <r>
    <s v="Male"/>
    <n v="62"/>
    <n v="0"/>
    <n v="0"/>
    <n v="1"/>
    <x v="29"/>
    <s v="Undeveloped"/>
    <s v="Other"/>
    <s v="Dhaka"/>
    <x v="0"/>
  </r>
  <r>
    <s v="Female"/>
    <n v="35"/>
    <n v="0"/>
    <n v="0"/>
    <n v="1"/>
    <x v="29"/>
    <s v="Developed"/>
    <s v="Tinshed"/>
    <s v="Dhaka"/>
    <x v="0"/>
  </r>
  <r>
    <s v="Female"/>
    <n v="22"/>
    <n v="1"/>
    <n v="1"/>
    <n v="1"/>
    <x v="0"/>
    <s v="Undeveloped"/>
    <s v="Other"/>
    <s v="Dhaka"/>
    <x v="1"/>
  </r>
  <r>
    <s v="Male"/>
    <n v="14"/>
    <n v="1"/>
    <n v="1"/>
    <n v="1"/>
    <x v="30"/>
    <s v="Developed"/>
    <s v="Building"/>
    <s v="Dhaka"/>
    <x v="1"/>
  </r>
  <r>
    <s v="Female"/>
    <n v="40"/>
    <n v="1"/>
    <n v="1"/>
    <n v="0"/>
    <x v="29"/>
    <s v="Undeveloped"/>
    <s v="Building"/>
    <s v="Dhaka"/>
    <x v="1"/>
  </r>
  <r>
    <s v="Female"/>
    <n v="46"/>
    <n v="1"/>
    <n v="1"/>
    <n v="0"/>
    <x v="15"/>
    <s v="Developed"/>
    <s v="Other"/>
    <s v="Dhaka"/>
    <x v="1"/>
  </r>
  <r>
    <s v="Female"/>
    <n v="21"/>
    <n v="0"/>
    <n v="0"/>
    <n v="1"/>
    <x v="6"/>
    <s v="Undeveloped"/>
    <s v="Tinshed"/>
    <s v="Dhaka"/>
    <x v="0"/>
  </r>
  <r>
    <s v="Male"/>
    <n v="38"/>
    <n v="0"/>
    <n v="0"/>
    <n v="1"/>
    <x v="21"/>
    <s v="Developed"/>
    <s v="Building"/>
    <s v="Dhaka"/>
    <x v="0"/>
  </r>
  <r>
    <s v="Male"/>
    <n v="23"/>
    <n v="1"/>
    <n v="1"/>
    <n v="1"/>
    <x v="32"/>
    <s v="Undeveloped"/>
    <s v="Building"/>
    <s v="Dhaka"/>
    <x v="1"/>
  </r>
  <r>
    <s v="Female"/>
    <n v="15"/>
    <n v="0"/>
    <n v="0"/>
    <n v="0"/>
    <x v="0"/>
    <s v="Developed"/>
    <s v="Other"/>
    <s v="Dhaka"/>
    <x v="0"/>
  </r>
  <r>
    <s v="Female"/>
    <n v="21"/>
    <n v="0"/>
    <n v="0"/>
    <n v="0"/>
    <x v="14"/>
    <s v="Undeveloped"/>
    <s v="Other"/>
    <s v="Dhaka"/>
    <x v="0"/>
  </r>
  <r>
    <s v="Female"/>
    <n v="31"/>
    <n v="0"/>
    <n v="0"/>
    <n v="0"/>
    <x v="11"/>
    <s v="Developed"/>
    <s v="Other"/>
    <s v="Dhaka"/>
    <x v="0"/>
  </r>
  <r>
    <s v="Female"/>
    <n v="43"/>
    <n v="1"/>
    <n v="1"/>
    <n v="0"/>
    <x v="23"/>
    <s v="Undeveloped"/>
    <s v="Tinshed"/>
    <s v="Dhaka"/>
    <x v="1"/>
  </r>
  <r>
    <s v="Male"/>
    <n v="29"/>
    <n v="1"/>
    <n v="1"/>
    <n v="0"/>
    <x v="20"/>
    <s v="Developed"/>
    <s v="Tinshed"/>
    <s v="Dhaka"/>
    <x v="1"/>
  </r>
  <r>
    <s v="Female"/>
    <n v="58"/>
    <n v="0"/>
    <n v="0"/>
    <n v="1"/>
    <x v="19"/>
    <s v="Undeveloped"/>
    <s v="Building"/>
    <s v="Dhaka"/>
    <x v="0"/>
  </r>
  <r>
    <s v="Male"/>
    <n v="27"/>
    <n v="1"/>
    <n v="1"/>
    <n v="0"/>
    <x v="29"/>
    <s v="Developed"/>
    <s v="Building"/>
    <s v="Dhaka"/>
    <x v="1"/>
  </r>
  <r>
    <s v="Male"/>
    <n v="49"/>
    <n v="0"/>
    <n v="0"/>
    <n v="0"/>
    <x v="6"/>
    <s v="Undeveloped"/>
    <s v="Building"/>
    <s v="Dhaka"/>
    <x v="0"/>
  </r>
  <r>
    <s v="Male"/>
    <n v="43"/>
    <n v="1"/>
    <n v="1"/>
    <n v="1"/>
    <x v="11"/>
    <s v="Developed"/>
    <s v="Building"/>
    <s v="Dhaka"/>
    <x v="1"/>
  </r>
  <r>
    <s v="Male"/>
    <n v="42"/>
    <n v="1"/>
    <n v="1"/>
    <n v="0"/>
    <x v="33"/>
    <s v="Undeveloped"/>
    <s v="Other"/>
    <s v="Dhaka"/>
    <x v="1"/>
  </r>
  <r>
    <s v="Female"/>
    <n v="18"/>
    <n v="1"/>
    <n v="1"/>
    <n v="0"/>
    <x v="30"/>
    <s v="Developed"/>
    <s v="Building"/>
    <s v="Dhaka"/>
    <x v="1"/>
  </r>
  <r>
    <s v="Male"/>
    <n v="15"/>
    <n v="1"/>
    <n v="1"/>
    <n v="0"/>
    <x v="35"/>
    <s v="Undeveloped"/>
    <s v="Tinshed"/>
    <s v="Dhaka"/>
    <x v="1"/>
  </r>
  <r>
    <s v="Male"/>
    <n v="22"/>
    <n v="1"/>
    <n v="1"/>
    <n v="0"/>
    <x v="11"/>
    <s v="Developed"/>
    <s v="Building"/>
    <s v="Dhaka"/>
    <x v="1"/>
  </r>
  <r>
    <s v="Male"/>
    <n v="31"/>
    <n v="1"/>
    <n v="1"/>
    <n v="0"/>
    <x v="20"/>
    <s v="Undeveloped"/>
    <s v="Tinshed"/>
    <s v="Dhaka"/>
    <x v="1"/>
  </r>
  <r>
    <s v="Female"/>
    <n v="26"/>
    <n v="0"/>
    <n v="0"/>
    <n v="1"/>
    <x v="16"/>
    <s v="Developed"/>
    <s v="Building"/>
    <s v="Dhaka"/>
    <x v="0"/>
  </r>
  <r>
    <s v="Male"/>
    <n v="11"/>
    <n v="1"/>
    <n v="1"/>
    <n v="1"/>
    <x v="0"/>
    <s v="Undeveloped"/>
    <s v="Tinshed"/>
    <s v="Dhaka"/>
    <x v="1"/>
  </r>
  <r>
    <s v="Male"/>
    <n v="47"/>
    <n v="1"/>
    <n v="1"/>
    <n v="1"/>
    <x v="0"/>
    <s v="Developed"/>
    <s v="Tinshed"/>
    <s v="Dhaka"/>
    <x v="1"/>
  </r>
  <r>
    <s v="Female"/>
    <n v="20"/>
    <n v="0"/>
    <n v="0"/>
    <n v="1"/>
    <x v="23"/>
    <s v="Undeveloped"/>
    <s v="Building"/>
    <s v="Dhaka"/>
    <x v="0"/>
  </r>
  <r>
    <s v="Male"/>
    <n v="58"/>
    <n v="0"/>
    <n v="0"/>
    <n v="1"/>
    <x v="27"/>
    <s v="Developed"/>
    <s v="Building"/>
    <s v="Dhaka"/>
    <x v="0"/>
  </r>
  <r>
    <s v="Male"/>
    <n v="62"/>
    <n v="1"/>
    <n v="1"/>
    <n v="0"/>
    <x v="27"/>
    <s v="Undeveloped"/>
    <s v="Other"/>
    <s v="Dhaka"/>
    <x v="1"/>
  </r>
  <r>
    <s v="Female"/>
    <n v="27"/>
    <n v="0"/>
    <n v="0"/>
    <n v="1"/>
    <x v="20"/>
    <s v="Developed"/>
    <s v="Other"/>
    <s v="Dhaka"/>
    <x v="0"/>
  </r>
  <r>
    <s v="Female"/>
    <n v="49"/>
    <n v="1"/>
    <n v="1"/>
    <n v="1"/>
    <x v="29"/>
    <s v="Undeveloped"/>
    <s v="Tinshed"/>
    <s v="Dhaka"/>
    <x v="1"/>
  </r>
  <r>
    <s v="Female"/>
    <n v="30"/>
    <n v="1"/>
    <n v="1"/>
    <n v="0"/>
    <x v="24"/>
    <s v="Developed"/>
    <s v="Other"/>
    <s v="Dhaka"/>
    <x v="1"/>
  </r>
  <r>
    <s v="Male"/>
    <n v="61"/>
    <n v="1"/>
    <n v="1"/>
    <n v="1"/>
    <x v="4"/>
    <s v="Undeveloped"/>
    <s v="Other"/>
    <s v="Dhaka"/>
    <x v="1"/>
  </r>
  <r>
    <s v="Female"/>
    <n v="31"/>
    <n v="1"/>
    <n v="1"/>
    <n v="1"/>
    <x v="28"/>
    <s v="Developed"/>
    <s v="Building"/>
    <s v="Dhaka"/>
    <x v="1"/>
  </r>
  <r>
    <s v="Female"/>
    <n v="64"/>
    <n v="0"/>
    <n v="0"/>
    <n v="1"/>
    <x v="3"/>
    <s v="Undeveloped"/>
    <s v="Other"/>
    <s v="Dhaka"/>
    <x v="0"/>
  </r>
  <r>
    <s v="Female"/>
    <n v="37"/>
    <n v="0"/>
    <n v="0"/>
    <n v="1"/>
    <x v="8"/>
    <s v="Developed"/>
    <s v="Other"/>
    <s v="Dhaka"/>
    <x v="0"/>
  </r>
  <r>
    <s v="Male"/>
    <n v="45"/>
    <n v="1"/>
    <n v="1"/>
    <n v="0"/>
    <x v="34"/>
    <s v="Undeveloped"/>
    <s v="Other"/>
    <s v="Dhaka"/>
    <x v="1"/>
  </r>
  <r>
    <s v="Male"/>
    <n v="47"/>
    <n v="1"/>
    <n v="1"/>
    <n v="0"/>
    <x v="31"/>
    <s v="Developed"/>
    <s v="Other"/>
    <s v="Dhaka"/>
    <x v="1"/>
  </r>
  <r>
    <s v="Female"/>
    <n v="34"/>
    <n v="0"/>
    <n v="0"/>
    <n v="0"/>
    <x v="21"/>
    <s v="Undeveloped"/>
    <s v="Tinshed"/>
    <s v="Dhaka"/>
    <x v="0"/>
  </r>
  <r>
    <s v="Male"/>
    <n v="37"/>
    <n v="1"/>
    <n v="1"/>
    <n v="1"/>
    <x v="33"/>
    <s v="Developed"/>
    <s v="Other"/>
    <s v="Dhaka"/>
    <x v="1"/>
  </r>
  <r>
    <s v="Female"/>
    <n v="17"/>
    <n v="0"/>
    <n v="0"/>
    <n v="0"/>
    <x v="7"/>
    <s v="Undeveloped"/>
    <s v="Building"/>
    <s v="Dhaka"/>
    <x v="0"/>
  </r>
  <r>
    <s v="Male"/>
    <n v="38"/>
    <n v="0"/>
    <n v="1"/>
    <n v="0"/>
    <x v="10"/>
    <s v="Developed"/>
    <s v="Building"/>
    <s v="Dhaka"/>
    <x v="1"/>
  </r>
  <r>
    <s v="Female"/>
    <n v="13"/>
    <n v="0"/>
    <n v="0"/>
    <n v="0"/>
    <x v="13"/>
    <s v="Undeveloped"/>
    <s v="Tinshed"/>
    <s v="Dhaka"/>
    <x v="0"/>
  </r>
  <r>
    <s v="Female"/>
    <n v="52"/>
    <n v="1"/>
    <n v="1"/>
    <n v="1"/>
    <x v="31"/>
    <s v="Developed"/>
    <s v="Tinshed"/>
    <s v="Dhaka"/>
    <x v="1"/>
  </r>
  <r>
    <s v="Female"/>
    <n v="50"/>
    <n v="0"/>
    <n v="0"/>
    <n v="0"/>
    <x v="18"/>
    <s v="Undeveloped"/>
    <s v="Tinshed"/>
    <s v="Dhaka"/>
    <x v="0"/>
  </r>
  <r>
    <s v="Male"/>
    <n v="35"/>
    <n v="0"/>
    <n v="0"/>
    <n v="0"/>
    <x v="12"/>
    <s v="Developed"/>
    <s v="Building"/>
    <s v="Dhaka"/>
    <x v="0"/>
  </r>
  <r>
    <s v="Male"/>
    <n v="14"/>
    <n v="1"/>
    <n v="1"/>
    <n v="1"/>
    <x v="30"/>
    <s v="Undeveloped"/>
    <s v="Other"/>
    <s v="Dhaka"/>
    <x v="1"/>
  </r>
  <r>
    <s v="Female"/>
    <n v="31"/>
    <n v="0"/>
    <n v="0"/>
    <n v="1"/>
    <x v="9"/>
    <s v="Developed"/>
    <s v="Building"/>
    <s v="Dhaka"/>
    <x v="0"/>
  </r>
  <r>
    <s v="Female"/>
    <n v="23"/>
    <n v="1"/>
    <n v="1"/>
    <n v="0"/>
    <x v="13"/>
    <s v="Undeveloped"/>
    <s v="Tinshed"/>
    <s v="Dhaka"/>
    <x v="1"/>
  </r>
  <r>
    <s v="Male"/>
    <n v="32"/>
    <n v="0"/>
    <n v="0"/>
    <n v="0"/>
    <x v="29"/>
    <s v="Developed"/>
    <s v="Tinshed"/>
    <s v="Dhaka"/>
    <x v="0"/>
  </r>
  <r>
    <s v="Male"/>
    <n v="39"/>
    <n v="1"/>
    <n v="1"/>
    <n v="0"/>
    <x v="4"/>
    <s v="Undeveloped"/>
    <s v="Tinshed"/>
    <s v="Dhaka"/>
    <x v="1"/>
  </r>
  <r>
    <s v="Female"/>
    <n v="53"/>
    <n v="0"/>
    <n v="0"/>
    <n v="0"/>
    <x v="27"/>
    <s v="Developed"/>
    <s v="Building"/>
    <s v="Dhaka"/>
    <x v="0"/>
  </r>
  <r>
    <s v="Male"/>
    <n v="29"/>
    <n v="0"/>
    <n v="0"/>
    <n v="1"/>
    <x v="13"/>
    <s v="Undeveloped"/>
    <s v="Other"/>
    <s v="Dhaka"/>
    <x v="0"/>
  </r>
  <r>
    <s v="Male"/>
    <n v="51"/>
    <n v="1"/>
    <n v="1"/>
    <n v="1"/>
    <x v="23"/>
    <s v="Developed"/>
    <s v="Other"/>
    <s v="Dhaka"/>
    <x v="1"/>
  </r>
  <r>
    <s v="Male"/>
    <n v="11"/>
    <n v="0"/>
    <n v="0"/>
    <n v="1"/>
    <x v="17"/>
    <s v="Undeveloped"/>
    <s v="Other"/>
    <s v="Dhaka"/>
    <x v="0"/>
  </r>
  <r>
    <s v="Female"/>
    <n v="29"/>
    <n v="1"/>
    <n v="1"/>
    <n v="1"/>
    <x v="33"/>
    <s v="Developed"/>
    <s v="Building"/>
    <s v="Dhaka"/>
    <x v="1"/>
  </r>
  <r>
    <s v="Male"/>
    <n v="45"/>
    <n v="1"/>
    <n v="1"/>
    <n v="0"/>
    <x v="12"/>
    <s v="Undeveloped"/>
    <s v="Building"/>
    <s v="Dhaka"/>
    <x v="1"/>
  </r>
  <r>
    <s v="Male"/>
    <n v="19"/>
    <n v="0"/>
    <n v="0"/>
    <n v="0"/>
    <x v="31"/>
    <s v="Developed"/>
    <s v="Building"/>
    <s v="Dhaka"/>
    <x v="0"/>
  </r>
  <r>
    <s v="Male"/>
    <n v="24"/>
    <n v="1"/>
    <n v="1"/>
    <n v="0"/>
    <x v="30"/>
    <s v="Undeveloped"/>
    <s v="Tinshed"/>
    <s v="Dhaka"/>
    <x v="1"/>
  </r>
  <r>
    <s v="Male"/>
    <n v="48"/>
    <n v="0"/>
    <n v="0"/>
    <n v="0"/>
    <x v="26"/>
    <s v="Developed"/>
    <s v="Building"/>
    <s v="Dhaka"/>
    <x v="0"/>
  </r>
  <r>
    <s v="Female"/>
    <n v="53"/>
    <n v="1"/>
    <n v="1"/>
    <n v="0"/>
    <x v="24"/>
    <s v="Undeveloped"/>
    <s v="Tinshed"/>
    <s v="Dhaka"/>
    <x v="1"/>
  </r>
  <r>
    <s v="Female"/>
    <n v="33"/>
    <n v="1"/>
    <n v="1"/>
    <n v="0"/>
    <x v="22"/>
    <s v="Developed"/>
    <s v="Tinshed"/>
    <s v="Dhaka"/>
    <x v="1"/>
  </r>
  <r>
    <s v="Male"/>
    <n v="41"/>
    <n v="1"/>
    <n v="1"/>
    <n v="1"/>
    <x v="9"/>
    <s v="Undeveloped"/>
    <s v="Tinshed"/>
    <s v="Dhaka"/>
    <x v="1"/>
  </r>
  <r>
    <s v="Female"/>
    <n v="35"/>
    <n v="0"/>
    <n v="0"/>
    <n v="1"/>
    <x v="5"/>
    <s v="Developed"/>
    <s v="Building"/>
    <s v="Dhaka"/>
    <x v="0"/>
  </r>
  <r>
    <s v="Male"/>
    <n v="63"/>
    <n v="0"/>
    <n v="0"/>
    <n v="0"/>
    <x v="5"/>
    <s v="Undeveloped"/>
    <s v="Tinshed"/>
    <s v="Dhaka"/>
    <x v="0"/>
  </r>
  <r>
    <s v="Female"/>
    <n v="54"/>
    <n v="1"/>
    <n v="1"/>
    <n v="0"/>
    <x v="15"/>
    <s v="Developed"/>
    <s v="Tinshed"/>
    <s v="Dhaka"/>
    <x v="1"/>
  </r>
  <r>
    <s v="Female"/>
    <n v="40"/>
    <n v="1"/>
    <n v="1"/>
    <n v="1"/>
    <x v="25"/>
    <s v="Undeveloped"/>
    <s v="Tinshed"/>
    <s v="Dhaka"/>
    <x v="1"/>
  </r>
  <r>
    <s v="Female"/>
    <n v="23"/>
    <n v="0"/>
    <n v="0"/>
    <n v="1"/>
    <x v="34"/>
    <s v="Developed"/>
    <s v="Other"/>
    <s v="Dhaka"/>
    <x v="0"/>
  </r>
  <r>
    <s v="Female"/>
    <n v="55"/>
    <n v="0"/>
    <n v="0"/>
    <n v="0"/>
    <x v="9"/>
    <s v="Undeveloped"/>
    <s v="Other"/>
    <s v="Dhaka"/>
    <x v="0"/>
  </r>
  <r>
    <s v="Female"/>
    <n v="32"/>
    <n v="0"/>
    <n v="0"/>
    <n v="0"/>
    <x v="24"/>
    <s v="Developed"/>
    <s v="Other"/>
    <s v="Dhaka"/>
    <x v="0"/>
  </r>
  <r>
    <s v="Male"/>
    <n v="13"/>
    <n v="0"/>
    <n v="0"/>
    <n v="1"/>
    <x v="4"/>
    <s v="Undeveloped"/>
    <s v="Tinshed"/>
    <s v="Dhaka"/>
    <x v="0"/>
  </r>
  <r>
    <s v="Male"/>
    <n v="44"/>
    <n v="1"/>
    <n v="1"/>
    <n v="0"/>
    <x v="22"/>
    <s v="Developed"/>
    <s v="Building"/>
    <s v="Dhaka"/>
    <x v="1"/>
  </r>
  <r>
    <s v="Female"/>
    <n v="52"/>
    <n v="0"/>
    <n v="0"/>
    <n v="1"/>
    <x v="12"/>
    <s v="Undeveloped"/>
    <s v="Tinshed"/>
    <s v="Dhaka"/>
    <x v="0"/>
  </r>
  <r>
    <s v="Male"/>
    <n v="65"/>
    <n v="0"/>
    <n v="0"/>
    <n v="0"/>
    <x v="14"/>
    <s v="Developed"/>
    <s v="Other"/>
    <s v="Dhaka"/>
    <x v="0"/>
  </r>
  <r>
    <s v="Male"/>
    <n v="55"/>
    <n v="0"/>
    <n v="0"/>
    <n v="0"/>
    <x v="19"/>
    <s v="Undeveloped"/>
    <s v="Other"/>
    <s v="Dhaka"/>
    <x v="0"/>
  </r>
  <r>
    <s v="Female"/>
    <n v="17"/>
    <n v="0"/>
    <n v="0"/>
    <n v="1"/>
    <x v="0"/>
    <s v="Developed"/>
    <s v="Other"/>
    <s v="Dhaka"/>
    <x v="0"/>
  </r>
  <r>
    <s v="Female"/>
    <n v="31"/>
    <n v="1"/>
    <n v="1"/>
    <n v="0"/>
    <x v="19"/>
    <s v="Undeveloped"/>
    <s v="Building"/>
    <s v="Dhaka"/>
    <x v="1"/>
  </r>
  <r>
    <s v="Male"/>
    <n v="9"/>
    <n v="1"/>
    <n v="1"/>
    <n v="1"/>
    <x v="21"/>
    <s v="Developed"/>
    <s v="Tinshed"/>
    <s v="Dhaka"/>
    <x v="1"/>
  </r>
  <r>
    <s v="Male"/>
    <n v="22"/>
    <n v="1"/>
    <n v="1"/>
    <n v="0"/>
    <x v="21"/>
    <s v="Undeveloped"/>
    <s v="Tinshed"/>
    <s v="Dhaka"/>
    <x v="1"/>
  </r>
  <r>
    <s v="Female"/>
    <n v="21"/>
    <n v="1"/>
    <n v="1"/>
    <n v="0"/>
    <x v="29"/>
    <s v="Developed"/>
    <s v="Other"/>
    <s v="Dhaka"/>
    <x v="1"/>
  </r>
  <r>
    <s v="Female"/>
    <n v="15"/>
    <n v="1"/>
    <n v="1"/>
    <n v="0"/>
    <x v="34"/>
    <s v="Undeveloped"/>
    <s v="Building"/>
    <s v="Dhaka"/>
    <x v="1"/>
  </r>
  <r>
    <s v="Male"/>
    <n v="40"/>
    <n v="1"/>
    <n v="1"/>
    <n v="0"/>
    <x v="31"/>
    <s v="Developed"/>
    <s v="Tinshed"/>
    <s v="Dhaka"/>
    <x v="1"/>
  </r>
  <r>
    <s v="Female"/>
    <n v="37"/>
    <n v="1"/>
    <n v="1"/>
    <n v="1"/>
    <x v="3"/>
    <s v="Undeveloped"/>
    <s v="Building"/>
    <s v="Dhaka"/>
    <x v="1"/>
  </r>
  <r>
    <s v="Male"/>
    <n v="53"/>
    <n v="0"/>
    <n v="0"/>
    <n v="0"/>
    <x v="4"/>
    <s v="Developed"/>
    <s v="Other"/>
    <s v="Dhaka"/>
    <x v="0"/>
  </r>
  <r>
    <s v="Female"/>
    <n v="46"/>
    <n v="0"/>
    <n v="0"/>
    <n v="0"/>
    <x v="6"/>
    <s v="Undeveloped"/>
    <s v="Tinshed"/>
    <s v="Dhaka"/>
    <x v="0"/>
  </r>
  <r>
    <s v="Male"/>
    <n v="9"/>
    <n v="1"/>
    <n v="1"/>
    <n v="1"/>
    <x v="16"/>
    <s v="Developed"/>
    <s v="Other"/>
    <s v="Dhaka"/>
    <x v="1"/>
  </r>
  <r>
    <s v="Male"/>
    <n v="35"/>
    <n v="0"/>
    <n v="0"/>
    <n v="1"/>
    <x v="6"/>
    <s v="Undeveloped"/>
    <s v="Tinshed"/>
    <s v="Dhaka"/>
    <x v="0"/>
  </r>
  <r>
    <s v="Female"/>
    <n v="18"/>
    <n v="0"/>
    <n v="0"/>
    <n v="1"/>
    <x v="18"/>
    <s v="Developed"/>
    <s v="Other"/>
    <s v="Dhaka"/>
    <x v="0"/>
  </r>
  <r>
    <s v="Female"/>
    <n v="10"/>
    <n v="0"/>
    <n v="0"/>
    <n v="1"/>
    <x v="17"/>
    <s v="Undeveloped"/>
    <s v="Other"/>
    <s v="Dhaka"/>
    <x v="0"/>
  </r>
  <r>
    <s v="Female"/>
    <n v="13"/>
    <n v="1"/>
    <n v="1"/>
    <n v="1"/>
    <x v="0"/>
    <s v="Developed"/>
    <s v="Tinshed"/>
    <s v="Dhaka"/>
    <x v="1"/>
  </r>
  <r>
    <s v="Female"/>
    <n v="19"/>
    <n v="1"/>
    <n v="1"/>
    <n v="0"/>
    <x v="33"/>
    <s v="Undeveloped"/>
    <s v="Tinshed"/>
    <s v="Dhaka"/>
    <x v="1"/>
  </r>
  <r>
    <s v="Male"/>
    <n v="37"/>
    <n v="0"/>
    <n v="0"/>
    <n v="1"/>
    <x v="13"/>
    <s v="Developed"/>
    <s v="Other"/>
    <s v="Dhaka"/>
    <x v="0"/>
  </r>
  <r>
    <s v="Female"/>
    <n v="40"/>
    <n v="1"/>
    <n v="1"/>
    <n v="0"/>
    <x v="31"/>
    <s v="Undeveloped"/>
    <s v="Building"/>
    <s v="Dhaka"/>
    <x v="1"/>
  </r>
  <r>
    <s v="Female"/>
    <n v="10"/>
    <n v="0"/>
    <n v="0"/>
    <n v="0"/>
    <x v="31"/>
    <s v="Developed"/>
    <s v="Tinshed"/>
    <s v="Dhaka"/>
    <x v="0"/>
  </r>
  <r>
    <s v="Female"/>
    <n v="17"/>
    <n v="0"/>
    <n v="0"/>
    <n v="1"/>
    <x v="7"/>
    <s v="Undeveloped"/>
    <s v="Other"/>
    <s v="Dhaka"/>
    <x v="0"/>
  </r>
  <r>
    <s v="Female"/>
    <n v="47"/>
    <n v="1"/>
    <n v="1"/>
    <n v="0"/>
    <x v="24"/>
    <s v="Developed"/>
    <s v="Building"/>
    <s v="Dhaka"/>
    <x v="1"/>
  </r>
  <r>
    <s v="Male"/>
    <n v="51"/>
    <n v="0"/>
    <n v="0"/>
    <n v="0"/>
    <x v="20"/>
    <s v="Undeveloped"/>
    <s v="Other"/>
    <s v="Dhaka"/>
    <x v="0"/>
  </r>
  <r>
    <s v="Male"/>
    <n v="33"/>
    <n v="1"/>
    <n v="1"/>
    <n v="1"/>
    <x v="34"/>
    <s v="Developed"/>
    <s v="Building"/>
    <s v="Dhaka"/>
    <x v="1"/>
  </r>
  <r>
    <s v="Male"/>
    <n v="51"/>
    <n v="1"/>
    <n v="1"/>
    <n v="1"/>
    <x v="5"/>
    <s v="Undeveloped"/>
    <s v="Other"/>
    <s v="Dhaka"/>
    <x v="1"/>
  </r>
  <r>
    <s v="Female"/>
    <n v="60"/>
    <n v="0"/>
    <n v="0"/>
    <n v="1"/>
    <x v="19"/>
    <s v="Developed"/>
    <s v="Building"/>
    <s v="Dhaka"/>
    <x v="0"/>
  </r>
  <r>
    <s v="Female"/>
    <n v="23"/>
    <n v="0"/>
    <n v="0"/>
    <n v="1"/>
    <x v="33"/>
    <s v="Undeveloped"/>
    <s v="Other"/>
    <s v="Dhaka"/>
    <x v="0"/>
  </r>
  <r>
    <s v="Female"/>
    <n v="8"/>
    <n v="0"/>
    <n v="0"/>
    <n v="0"/>
    <x v="5"/>
    <s v="Developed"/>
    <s v="Other"/>
    <s v="Dhaka"/>
    <x v="0"/>
  </r>
  <r>
    <s v="Male"/>
    <n v="52"/>
    <n v="0"/>
    <n v="0"/>
    <n v="1"/>
    <x v="0"/>
    <s v="Undeveloped"/>
    <s v="Building"/>
    <s v="Dhaka"/>
    <x v="0"/>
  </r>
  <r>
    <s v="Female"/>
    <n v="10"/>
    <n v="1"/>
    <n v="1"/>
    <n v="1"/>
    <x v="7"/>
    <s v="Developed"/>
    <s v="Tinshed"/>
    <s v="Dhaka"/>
    <x v="1"/>
  </r>
  <r>
    <s v="Male"/>
    <n v="22"/>
    <n v="1"/>
    <n v="1"/>
    <n v="0"/>
    <x v="7"/>
    <s v="Undeveloped"/>
    <s v="Building"/>
    <s v="Dhaka"/>
    <x v="1"/>
  </r>
  <r>
    <s v="Male"/>
    <n v="23"/>
    <n v="1"/>
    <n v="1"/>
    <n v="0"/>
    <x v="17"/>
    <s v="Developed"/>
    <s v="Tinshed"/>
    <s v="Dhaka"/>
    <x v="1"/>
  </r>
  <r>
    <s v="Female"/>
    <n v="13"/>
    <n v="0"/>
    <n v="0"/>
    <n v="1"/>
    <x v="35"/>
    <s v="Undeveloped"/>
    <s v="Tinshed"/>
    <s v="Dhaka"/>
    <x v="0"/>
  </r>
  <r>
    <s v="Female"/>
    <n v="22"/>
    <n v="0"/>
    <n v="0"/>
    <n v="0"/>
    <x v="8"/>
    <s v="Developed"/>
    <s v="Building"/>
    <s v="Dhaka"/>
    <x v="0"/>
  </r>
  <r>
    <s v="Male"/>
    <n v="64"/>
    <n v="1"/>
    <n v="1"/>
    <n v="1"/>
    <x v="15"/>
    <s v="Undeveloped"/>
    <s v="Building"/>
    <s v="Dhaka"/>
    <x v="1"/>
  </r>
  <r>
    <s v="Female"/>
    <n v="9"/>
    <n v="0"/>
    <n v="0"/>
    <n v="0"/>
    <x v="25"/>
    <s v="Developed"/>
    <s v="Tinshed"/>
    <s v="Dhaka"/>
    <x v="0"/>
  </r>
  <r>
    <s v="Female"/>
    <n v="26"/>
    <n v="0"/>
    <n v="0"/>
    <n v="0"/>
    <x v="25"/>
    <s v="Undeveloped"/>
    <s v="Tinshed"/>
    <s v="Dhaka"/>
    <x v="0"/>
  </r>
  <r>
    <s v="Male"/>
    <n v="32"/>
    <n v="0"/>
    <n v="0"/>
    <n v="0"/>
    <x v="15"/>
    <s v="Developed"/>
    <s v="Tinshed"/>
    <s v="Dhaka"/>
    <x v="0"/>
  </r>
  <r>
    <s v="Female"/>
    <n v="48"/>
    <n v="0"/>
    <n v="0"/>
    <n v="1"/>
    <x v="30"/>
    <s v="Undeveloped"/>
    <s v="Building"/>
    <s v="Dhaka"/>
    <x v="0"/>
  </r>
  <r>
    <s v="Male"/>
    <n v="48"/>
    <n v="0"/>
    <n v="1"/>
    <n v="0"/>
    <x v="10"/>
    <s v="Developed"/>
    <s v="Other"/>
    <s v="Dhaka"/>
    <x v="1"/>
  </r>
  <r>
    <s v="Female"/>
    <n v="33"/>
    <n v="0"/>
    <n v="0"/>
    <n v="0"/>
    <x v="6"/>
    <s v="Undeveloped"/>
    <s v="Other"/>
    <s v="Dhaka"/>
    <x v="0"/>
  </r>
  <r>
    <s v="Female"/>
    <n v="36"/>
    <n v="0"/>
    <n v="0"/>
    <n v="0"/>
    <x v="27"/>
    <s v="Developed"/>
    <s v="Other"/>
    <s v="Dhaka"/>
    <x v="0"/>
  </r>
  <r>
    <s v="Female"/>
    <n v="32"/>
    <n v="0"/>
    <n v="0"/>
    <n v="0"/>
    <x v="29"/>
    <s v="Undeveloped"/>
    <s v="Other"/>
    <s v="Dhaka"/>
    <x v="0"/>
  </r>
  <r>
    <s v="Male"/>
    <n v="53"/>
    <n v="0"/>
    <n v="0"/>
    <n v="0"/>
    <x v="3"/>
    <s v="Developed"/>
    <s v="Building"/>
    <s v="Dhaka"/>
    <x v="0"/>
  </r>
  <r>
    <s v="Female"/>
    <n v="9"/>
    <n v="1"/>
    <n v="1"/>
    <n v="0"/>
    <x v="6"/>
    <s v="Undeveloped"/>
    <s v="Other"/>
    <s v="Dhaka"/>
    <x v="1"/>
  </r>
  <r>
    <s v="Male"/>
    <n v="9"/>
    <n v="1"/>
    <n v="1"/>
    <n v="0"/>
    <x v="13"/>
    <s v="Developed"/>
    <s v="Building"/>
    <s v="Dhaka"/>
    <x v="1"/>
  </r>
  <r>
    <s v="Male"/>
    <n v="40"/>
    <n v="0"/>
    <n v="0"/>
    <n v="1"/>
    <x v="7"/>
    <s v="Undeveloped"/>
    <s v="Building"/>
    <s v="Dhaka"/>
    <x v="0"/>
  </r>
  <r>
    <s v="Female"/>
    <n v="55"/>
    <n v="1"/>
    <n v="1"/>
    <n v="1"/>
    <x v="20"/>
    <s v="Developed"/>
    <s v="Tinshed"/>
    <s v="Dhaka"/>
    <x v="1"/>
  </r>
  <r>
    <s v="Male"/>
    <n v="34"/>
    <n v="0"/>
    <n v="0"/>
    <n v="1"/>
    <x v="14"/>
    <s v="Undeveloped"/>
    <s v="Tinshed"/>
    <s v="Dhaka"/>
    <x v="0"/>
  </r>
  <r>
    <s v="Female"/>
    <n v="19"/>
    <n v="1"/>
    <n v="1"/>
    <n v="1"/>
    <x v="15"/>
    <s v="Developed"/>
    <s v="Building"/>
    <s v="Dhaka"/>
    <x v="1"/>
  </r>
  <r>
    <s v="Male"/>
    <n v="48"/>
    <n v="1"/>
    <n v="1"/>
    <n v="1"/>
    <x v="28"/>
    <s v="Undeveloped"/>
    <s v="Other"/>
    <s v="Dhaka"/>
    <x v="1"/>
  </r>
  <r>
    <s v="Female"/>
    <n v="30"/>
    <n v="1"/>
    <n v="1"/>
    <n v="0"/>
    <x v="0"/>
    <s v="Developed"/>
    <s v="Building"/>
    <s v="Dhaka"/>
    <x v="1"/>
  </r>
  <r>
    <s v="Female"/>
    <n v="27"/>
    <n v="0"/>
    <n v="0"/>
    <n v="0"/>
    <x v="30"/>
    <s v="Undeveloped"/>
    <s v="Building"/>
    <s v="Dhaka"/>
    <x v="0"/>
  </r>
  <r>
    <s v="Male"/>
    <n v="49"/>
    <n v="0"/>
    <n v="0"/>
    <n v="0"/>
    <x v="11"/>
    <s v="Developed"/>
    <s v="Other"/>
    <s v="Dhaka"/>
    <x v="0"/>
  </r>
  <r>
    <s v="Female"/>
    <n v="28"/>
    <n v="0"/>
    <n v="0"/>
    <n v="1"/>
    <x v="17"/>
    <s v="Undeveloped"/>
    <s v="Other"/>
    <s v="Dhaka"/>
    <x v="0"/>
  </r>
  <r>
    <s v="Female"/>
    <n v="29"/>
    <n v="1"/>
    <n v="1"/>
    <n v="1"/>
    <x v="24"/>
    <s v="Developed"/>
    <s v="Tinshed"/>
    <s v="Dhaka"/>
    <x v="1"/>
  </r>
  <r>
    <s v="Male"/>
    <n v="65"/>
    <n v="1"/>
    <n v="1"/>
    <n v="0"/>
    <x v="8"/>
    <s v="Undeveloped"/>
    <s v="Tinshed"/>
    <s v="Dhaka"/>
    <x v="1"/>
  </r>
  <r>
    <s v="Male"/>
    <n v="36"/>
    <n v="0"/>
    <n v="0"/>
    <n v="1"/>
    <x v="27"/>
    <s v="Developed"/>
    <s v="Building"/>
    <s v="Dhaka"/>
    <x v="0"/>
  </r>
  <r>
    <s v="Female"/>
    <n v="55"/>
    <n v="1"/>
    <n v="1"/>
    <n v="0"/>
    <x v="9"/>
    <s v="Undeveloped"/>
    <s v="Building"/>
    <s v="Dhaka"/>
    <x v="1"/>
  </r>
  <r>
    <s v="Male"/>
    <n v="22"/>
    <n v="0"/>
    <n v="0"/>
    <n v="1"/>
    <x v="24"/>
    <s v="Developed"/>
    <s v="Building"/>
    <s v="Dhaka"/>
    <x v="0"/>
  </r>
  <r>
    <s v="Male"/>
    <n v="26"/>
    <n v="1"/>
    <n v="1"/>
    <n v="0"/>
    <x v="6"/>
    <s v="Undeveloped"/>
    <s v="Tinshed"/>
    <s v="Dhaka"/>
    <x v="1"/>
  </r>
  <r>
    <s v="Male"/>
    <n v="31"/>
    <n v="1"/>
    <n v="1"/>
    <n v="0"/>
    <x v="21"/>
    <s v="Developed"/>
    <s v="Tinshed"/>
    <s v="Dhaka"/>
    <x v="1"/>
  </r>
  <r>
    <s v="Female"/>
    <n v="50"/>
    <n v="0"/>
    <n v="0"/>
    <n v="0"/>
    <x v="29"/>
    <s v="Undeveloped"/>
    <s v="Building"/>
    <s v="Dhaka"/>
    <x v="0"/>
  </r>
  <r>
    <s v="Male"/>
    <n v="25"/>
    <n v="0"/>
    <n v="0"/>
    <n v="0"/>
    <x v="18"/>
    <s v="Developed"/>
    <s v="Tinshed"/>
    <s v="Dhaka"/>
    <x v="0"/>
  </r>
  <r>
    <s v="Female"/>
    <n v="34"/>
    <n v="1"/>
    <n v="1"/>
    <n v="0"/>
    <x v="6"/>
    <s v="Undeveloped"/>
    <s v="Building"/>
    <s v="Dhaka"/>
    <x v="1"/>
  </r>
  <r>
    <s v="Female"/>
    <n v="54"/>
    <n v="0"/>
    <n v="0"/>
    <n v="0"/>
    <x v="0"/>
    <s v="Developed"/>
    <s v="Tinshed"/>
    <s v="Dhaka"/>
    <x v="0"/>
  </r>
  <r>
    <s v="Female"/>
    <n v="35"/>
    <n v="1"/>
    <n v="1"/>
    <n v="0"/>
    <x v="23"/>
    <s v="Undeveloped"/>
    <s v="Building"/>
    <s v="Dhaka"/>
    <x v="1"/>
  </r>
  <r>
    <s v="Male"/>
    <n v="29"/>
    <n v="1"/>
    <n v="1"/>
    <n v="1"/>
    <x v="10"/>
    <s v="Developed"/>
    <s v="Building"/>
    <s v="Dhaka"/>
    <x v="1"/>
  </r>
  <r>
    <s v="Female"/>
    <n v="18"/>
    <n v="1"/>
    <n v="1"/>
    <n v="0"/>
    <x v="29"/>
    <s v="Undeveloped"/>
    <s v="Other"/>
    <s v="Dhaka"/>
    <x v="1"/>
  </r>
  <r>
    <s v="Female"/>
    <n v="12"/>
    <n v="1"/>
    <n v="1"/>
    <n v="1"/>
    <x v="35"/>
    <s v="Developed"/>
    <s v="Tinshed"/>
    <s v="Dhaka"/>
    <x v="1"/>
  </r>
  <r>
    <s v="Female"/>
    <n v="19"/>
    <n v="0"/>
    <n v="0"/>
    <n v="0"/>
    <x v="22"/>
    <s v="Undeveloped"/>
    <s v="Other"/>
    <s v="Dhaka"/>
    <x v="0"/>
  </r>
  <r>
    <s v="Female"/>
    <n v="38"/>
    <n v="1"/>
    <n v="1"/>
    <n v="0"/>
    <x v="9"/>
    <s v="Developed"/>
    <s v="Other"/>
    <s v="Dhaka"/>
    <x v="1"/>
  </r>
  <r>
    <s v="Male"/>
    <n v="46"/>
    <n v="0"/>
    <n v="0"/>
    <n v="0"/>
    <x v="24"/>
    <s v="Undeveloped"/>
    <s v="Other"/>
    <s v="Dhaka"/>
    <x v="0"/>
  </r>
  <r>
    <s v="Female"/>
    <n v="9"/>
    <n v="1"/>
    <n v="1"/>
    <n v="0"/>
    <x v="7"/>
    <s v="Developed"/>
    <s v="Building"/>
    <s v="Dhaka"/>
    <x v="1"/>
  </r>
  <r>
    <s v="Female"/>
    <n v="42"/>
    <n v="1"/>
    <n v="1"/>
    <n v="1"/>
    <x v="13"/>
    <s v="Undeveloped"/>
    <s v="Building"/>
    <s v="Dhaka"/>
    <x v="1"/>
  </r>
  <r>
    <s v="Male"/>
    <n v="23"/>
    <n v="0"/>
    <n v="0"/>
    <n v="1"/>
    <x v="2"/>
    <s v="Developed"/>
    <s v="Building"/>
    <s v="Dhaka"/>
    <x v="0"/>
  </r>
  <r>
    <s v="Female"/>
    <n v="45"/>
    <n v="1"/>
    <n v="1"/>
    <n v="1"/>
    <x v="2"/>
    <s v="Undeveloped"/>
    <s v="Building"/>
    <s v="Dhaka"/>
    <x v="1"/>
  </r>
  <r>
    <s v="Female"/>
    <n v="29"/>
    <n v="1"/>
    <n v="1"/>
    <n v="1"/>
    <x v="2"/>
    <s v="Developed"/>
    <s v="Building"/>
    <s v="Dhaka"/>
    <x v="1"/>
  </r>
  <r>
    <s v="Male"/>
    <n v="31"/>
    <n v="1"/>
    <n v="1"/>
    <n v="1"/>
    <x v="33"/>
    <s v="Undeveloped"/>
    <s v="Tinshed"/>
    <s v="Dhaka"/>
    <x v="1"/>
  </r>
  <r>
    <s v="Male"/>
    <n v="34"/>
    <n v="0"/>
    <n v="0"/>
    <n v="0"/>
    <x v="18"/>
    <s v="Developed"/>
    <s v="Tinshed"/>
    <s v="Dhaka"/>
    <x v="0"/>
  </r>
  <r>
    <s v="Female"/>
    <n v="61"/>
    <n v="1"/>
    <n v="1"/>
    <n v="1"/>
    <x v="35"/>
    <s v="Undeveloped"/>
    <s v="Tinshed"/>
    <s v="Dhaka"/>
    <x v="1"/>
  </r>
  <r>
    <s v="Female"/>
    <n v="26"/>
    <n v="1"/>
    <n v="1"/>
    <n v="1"/>
    <x v="22"/>
    <s v="Developed"/>
    <s v="Tinshed"/>
    <s v="Dhaka"/>
    <x v="1"/>
  </r>
  <r>
    <s v="Female"/>
    <n v="52"/>
    <n v="0"/>
    <n v="0"/>
    <n v="0"/>
    <x v="18"/>
    <s v="Undeveloped"/>
    <s v="Other"/>
    <s v="Dhaka"/>
    <x v="0"/>
  </r>
  <r>
    <s v="Female"/>
    <n v="24"/>
    <n v="0"/>
    <n v="0"/>
    <n v="0"/>
    <x v="8"/>
    <s v="Developed"/>
    <s v="Tinshed"/>
    <s v="Dhaka"/>
    <x v="0"/>
  </r>
  <r>
    <s v="Male"/>
    <n v="19"/>
    <n v="0"/>
    <n v="0"/>
    <n v="1"/>
    <x v="19"/>
    <s v="Undeveloped"/>
    <s v="Building"/>
    <s v="Dhaka"/>
    <x v="0"/>
  </r>
  <r>
    <s v="Female"/>
    <n v="47"/>
    <n v="1"/>
    <n v="1"/>
    <n v="0"/>
    <x v="30"/>
    <s v="Developed"/>
    <s v="Tinshed"/>
    <s v="Dhaka"/>
    <x v="1"/>
  </r>
  <r>
    <s v="Female"/>
    <n v="14"/>
    <n v="1"/>
    <n v="1"/>
    <n v="1"/>
    <x v="10"/>
    <s v="Undeveloped"/>
    <s v="Tinshed"/>
    <s v="Dhaka"/>
    <x v="1"/>
  </r>
  <r>
    <s v="Male"/>
    <n v="62"/>
    <n v="1"/>
    <n v="1"/>
    <n v="0"/>
    <x v="19"/>
    <s v="Developed"/>
    <s v="Tinshed"/>
    <s v="Dhaka"/>
    <x v="1"/>
  </r>
  <r>
    <s v="Male"/>
    <n v="53"/>
    <n v="1"/>
    <n v="1"/>
    <n v="1"/>
    <x v="0"/>
    <s v="Undeveloped"/>
    <s v="Tinshed"/>
    <s v="Dhaka"/>
    <x v="1"/>
  </r>
  <r>
    <s v="Male"/>
    <n v="49"/>
    <n v="0"/>
    <n v="0"/>
    <n v="1"/>
    <x v="29"/>
    <s v="Developed"/>
    <s v="Tinshed"/>
    <s v="Dhaka"/>
    <x v="0"/>
  </r>
  <r>
    <s v="Female"/>
    <n v="51"/>
    <n v="0"/>
    <n v="0"/>
    <n v="1"/>
    <x v="11"/>
    <s v="Undeveloped"/>
    <s v="Building"/>
    <s v="Dhaka"/>
    <x v="0"/>
  </r>
  <r>
    <s v="Female"/>
    <n v="61"/>
    <n v="0"/>
    <n v="0"/>
    <n v="0"/>
    <x v="17"/>
    <s v="Developed"/>
    <s v="Building"/>
    <s v="Dhaka"/>
    <x v="0"/>
  </r>
  <r>
    <s v="Female"/>
    <n v="35"/>
    <n v="1"/>
    <n v="1"/>
    <n v="0"/>
    <x v="17"/>
    <s v="Undeveloped"/>
    <s v="Building"/>
    <s v="Dhaka"/>
    <x v="1"/>
  </r>
  <r>
    <s v="Female"/>
    <n v="45"/>
    <n v="0"/>
    <n v="0"/>
    <n v="1"/>
    <x v="32"/>
    <s v="Developed"/>
    <s v="Tinshed"/>
    <s v="Dhaka"/>
    <x v="0"/>
  </r>
  <r>
    <s v="Male"/>
    <n v="25"/>
    <n v="1"/>
    <n v="1"/>
    <n v="1"/>
    <x v="21"/>
    <s v="Undeveloped"/>
    <s v="Building"/>
    <s v="Dhaka"/>
    <x v="1"/>
  </r>
  <r>
    <s v="Female"/>
    <n v="53"/>
    <n v="1"/>
    <n v="1"/>
    <n v="0"/>
    <x v="15"/>
    <s v="Developed"/>
    <s v="Building"/>
    <s v="Dhaka"/>
    <x v="1"/>
  </r>
  <r>
    <s v="Female"/>
    <n v="37"/>
    <n v="1"/>
    <n v="1"/>
    <n v="0"/>
    <x v="4"/>
    <s v="Undeveloped"/>
    <s v="Building"/>
    <s v="Dhaka"/>
    <x v="1"/>
  </r>
  <r>
    <s v="Male"/>
    <n v="25"/>
    <n v="0"/>
    <n v="0"/>
    <n v="1"/>
    <x v="34"/>
    <s v="Developed"/>
    <s v="Building"/>
    <s v="Dhaka"/>
    <x v="0"/>
  </r>
  <r>
    <s v="Male"/>
    <n v="38"/>
    <n v="1"/>
    <n v="1"/>
    <n v="1"/>
    <x v="20"/>
    <s v="Undeveloped"/>
    <s v="Tinshed"/>
    <s v="Dhaka"/>
    <x v="1"/>
  </r>
  <r>
    <s v="Female"/>
    <n v="50"/>
    <n v="1"/>
    <n v="1"/>
    <n v="0"/>
    <x v="34"/>
    <s v="Developed"/>
    <s v="Other"/>
    <s v="Dhaka"/>
    <x v="1"/>
  </r>
  <r>
    <s v="Male"/>
    <n v="30"/>
    <n v="1"/>
    <n v="1"/>
    <n v="1"/>
    <x v="30"/>
    <s v="Undeveloped"/>
    <s v="Building"/>
    <s v="Dhaka"/>
    <x v="1"/>
  </r>
  <r>
    <s v="Female"/>
    <n v="20"/>
    <n v="0"/>
    <n v="0"/>
    <n v="0"/>
    <x v="1"/>
    <s v="Developed"/>
    <s v="Building"/>
    <s v="Dhaka"/>
    <x v="0"/>
  </r>
  <r>
    <s v="Male"/>
    <n v="44"/>
    <n v="1"/>
    <n v="1"/>
    <n v="0"/>
    <x v="13"/>
    <s v="Undeveloped"/>
    <s v="Other"/>
    <s v="Dhaka"/>
    <x v="1"/>
  </r>
  <r>
    <s v="Female"/>
    <n v="57"/>
    <n v="0"/>
    <n v="0"/>
    <n v="1"/>
    <x v="26"/>
    <s v="Developed"/>
    <s v="Building"/>
    <s v="Dhaka"/>
    <x v="0"/>
  </r>
  <r>
    <s v="Male"/>
    <n v="19"/>
    <n v="1"/>
    <n v="1"/>
    <n v="1"/>
    <x v="16"/>
    <s v="Undeveloped"/>
    <s v="Other"/>
    <s v="Dhaka"/>
    <x v="1"/>
  </r>
  <r>
    <s v="Female"/>
    <n v="34"/>
    <n v="0"/>
    <n v="0"/>
    <n v="0"/>
    <x v="24"/>
    <s v="Developed"/>
    <s v="Other"/>
    <s v="Dhaka"/>
    <x v="0"/>
  </r>
  <r>
    <s v="Female"/>
    <n v="42"/>
    <n v="1"/>
    <n v="1"/>
    <n v="1"/>
    <x v="12"/>
    <s v="Undeveloped"/>
    <s v="Other"/>
    <s v="Dhaka"/>
    <x v="1"/>
  </r>
  <r>
    <s v="Female"/>
    <n v="48"/>
    <n v="1"/>
    <n v="1"/>
    <n v="1"/>
    <x v="31"/>
    <s v="Developed"/>
    <s v="Other"/>
    <s v="Dhaka"/>
    <x v="1"/>
  </r>
  <r>
    <s v="Male"/>
    <n v="45"/>
    <n v="1"/>
    <n v="1"/>
    <n v="1"/>
    <x v="10"/>
    <s v="Undeveloped"/>
    <s v="Building"/>
    <s v="Dhaka"/>
    <x v="1"/>
  </r>
  <r>
    <s v="Female"/>
    <n v="48"/>
    <n v="0"/>
    <n v="0"/>
    <n v="1"/>
    <x v="27"/>
    <s v="Developed"/>
    <s v="Tinshed"/>
    <s v="Dhaka"/>
    <x v="0"/>
  </r>
  <r>
    <s v="Female"/>
    <n v="50"/>
    <n v="1"/>
    <n v="1"/>
    <n v="0"/>
    <x v="6"/>
    <s v="Undeveloped"/>
    <s v="Other"/>
    <s v="Dhaka"/>
    <x v="1"/>
  </r>
  <r>
    <s v="Female"/>
    <n v="37"/>
    <n v="0"/>
    <n v="0"/>
    <n v="1"/>
    <x v="7"/>
    <s v="Developed"/>
    <s v="Building"/>
    <s v="Dhaka"/>
    <x v="0"/>
  </r>
  <r>
    <s v="Female"/>
    <n v="28"/>
    <n v="1"/>
    <n v="1"/>
    <n v="0"/>
    <x v="19"/>
    <s v="Undeveloped"/>
    <s v="Tinshed"/>
    <s v="Dhaka"/>
    <x v="1"/>
  </r>
  <r>
    <s v="Male"/>
    <n v="51"/>
    <n v="1"/>
    <n v="1"/>
    <n v="1"/>
    <x v="22"/>
    <s v="Developed"/>
    <s v="Other"/>
    <s v="Dhaka"/>
    <x v="1"/>
  </r>
  <r>
    <s v="Female"/>
    <n v="37"/>
    <n v="1"/>
    <n v="1"/>
    <n v="1"/>
    <x v="15"/>
    <s v="Undeveloped"/>
    <s v="Building"/>
    <s v="Dhaka"/>
    <x v="1"/>
  </r>
  <r>
    <s v="Female"/>
    <n v="12"/>
    <n v="0"/>
    <n v="0"/>
    <n v="1"/>
    <x v="8"/>
    <s v="Developed"/>
    <s v="Building"/>
    <s v="Dhaka"/>
    <x v="0"/>
  </r>
  <r>
    <s v="Male"/>
    <n v="65"/>
    <n v="1"/>
    <n v="1"/>
    <n v="0"/>
    <x v="15"/>
    <s v="Undeveloped"/>
    <s v="Other"/>
    <s v="Dhaka"/>
    <x v="1"/>
  </r>
  <r>
    <s v="Female"/>
    <n v="44"/>
    <n v="1"/>
    <n v="1"/>
    <n v="0"/>
    <x v="9"/>
    <s v="Developed"/>
    <s v="Building"/>
    <s v="Dhaka"/>
    <x v="1"/>
  </r>
  <r>
    <s v="Male"/>
    <n v="52"/>
    <n v="1"/>
    <n v="1"/>
    <n v="0"/>
    <x v="6"/>
    <s v="Undeveloped"/>
    <s v="Building"/>
    <s v="Dhaka"/>
    <x v="1"/>
  </r>
  <r>
    <s v="Female"/>
    <n v="10"/>
    <n v="1"/>
    <n v="1"/>
    <n v="1"/>
    <x v="26"/>
    <s v="Developed"/>
    <s v="Tinshed"/>
    <s v="Dhaka"/>
    <x v="1"/>
  </r>
  <r>
    <s v="Male"/>
    <n v="16"/>
    <n v="1"/>
    <n v="1"/>
    <n v="0"/>
    <x v="22"/>
    <s v="Undeveloped"/>
    <s v="Building"/>
    <s v="Dhaka"/>
    <x v="1"/>
  </r>
  <r>
    <s v="Female"/>
    <n v="17"/>
    <n v="1"/>
    <n v="1"/>
    <n v="0"/>
    <x v="20"/>
    <s v="Developed"/>
    <s v="Other"/>
    <s v="Dhaka"/>
    <x v="1"/>
  </r>
  <r>
    <s v="Female"/>
    <n v="63"/>
    <n v="0"/>
    <n v="0"/>
    <n v="1"/>
    <x v="25"/>
    <s v="Undeveloped"/>
    <s v="Other"/>
    <s v="Dhaka"/>
    <x v="0"/>
  </r>
  <r>
    <s v="Female"/>
    <n v="29"/>
    <n v="1"/>
    <n v="1"/>
    <n v="1"/>
    <x v="0"/>
    <s v="Developed"/>
    <s v="Other"/>
    <s v="Dhaka"/>
    <x v="1"/>
  </r>
  <r>
    <s v="Male"/>
    <n v="62"/>
    <n v="0"/>
    <n v="0"/>
    <n v="1"/>
    <x v="19"/>
    <s v="Undeveloped"/>
    <s v="Building"/>
    <s v="Dhaka"/>
    <x v="0"/>
  </r>
  <r>
    <s v="Female"/>
    <n v="16"/>
    <n v="0"/>
    <n v="0"/>
    <n v="0"/>
    <x v="7"/>
    <s v="Developed"/>
    <s v="Tinshed"/>
    <s v="Dhaka"/>
    <x v="0"/>
  </r>
  <r>
    <s v="Male"/>
    <n v="8"/>
    <n v="0"/>
    <n v="0"/>
    <n v="0"/>
    <x v="4"/>
    <s v="Undeveloped"/>
    <s v="Building"/>
    <s v="Dhaka"/>
    <x v="0"/>
  </r>
  <r>
    <s v="Female"/>
    <n v="10"/>
    <n v="1"/>
    <n v="1"/>
    <n v="0"/>
    <x v="33"/>
    <s v="Developed"/>
    <s v="Tinshed"/>
    <s v="Dhaka"/>
    <x v="1"/>
  </r>
  <r>
    <s v="Female"/>
    <n v="40"/>
    <n v="1"/>
    <n v="1"/>
    <n v="0"/>
    <x v="13"/>
    <s v="Undeveloped"/>
    <s v="Tinshed"/>
    <s v="Dhaka"/>
    <x v="1"/>
  </r>
  <r>
    <s v="Female"/>
    <n v="51"/>
    <n v="0"/>
    <n v="0"/>
    <n v="1"/>
    <x v="1"/>
    <s v="Developed"/>
    <s v="Other"/>
    <s v="Dhaka"/>
    <x v="0"/>
  </r>
  <r>
    <s v="Female"/>
    <n v="40"/>
    <n v="1"/>
    <n v="1"/>
    <n v="1"/>
    <x v="26"/>
    <s v="Undeveloped"/>
    <s v="Building"/>
    <s v="Dhaka"/>
    <x v="1"/>
  </r>
  <r>
    <s v="Female"/>
    <n v="50"/>
    <n v="0"/>
    <n v="0"/>
    <n v="0"/>
    <x v="7"/>
    <s v="Developed"/>
    <s v="Other"/>
    <s v="Dhaka"/>
    <x v="0"/>
  </r>
  <r>
    <s v="Male"/>
    <n v="20"/>
    <n v="1"/>
    <n v="1"/>
    <n v="1"/>
    <x v="0"/>
    <s v="Undeveloped"/>
    <s v="Tinshed"/>
    <s v="Dhaka"/>
    <x v="1"/>
  </r>
  <r>
    <s v="Female"/>
    <n v="27"/>
    <n v="0"/>
    <n v="0"/>
    <n v="0"/>
    <x v="4"/>
    <s v="Developed"/>
    <s v="Other"/>
    <s v="Dhaka"/>
    <x v="0"/>
  </r>
  <r>
    <s v="Female"/>
    <n v="65"/>
    <n v="0"/>
    <n v="0"/>
    <n v="0"/>
    <x v="3"/>
    <s v="Undeveloped"/>
    <s v="Tinshed"/>
    <s v="Dhaka"/>
    <x v="0"/>
  </r>
  <r>
    <s v="Female"/>
    <n v="10"/>
    <n v="1"/>
    <n v="1"/>
    <n v="1"/>
    <x v="32"/>
    <s v="Developed"/>
    <s v="Tinshed"/>
    <s v="Dhaka"/>
    <x v="1"/>
  </r>
  <r>
    <s v="Female"/>
    <n v="33"/>
    <n v="1"/>
    <n v="1"/>
    <n v="1"/>
    <x v="3"/>
    <s v="Undeveloped"/>
    <s v="Tinshed"/>
    <s v="Dhaka"/>
    <x v="1"/>
  </r>
  <r>
    <s v="Male"/>
    <n v="20"/>
    <n v="1"/>
    <n v="1"/>
    <n v="1"/>
    <x v="3"/>
    <s v="Developed"/>
    <s v="Tinshed"/>
    <s v="Dhaka"/>
    <x v="1"/>
  </r>
  <r>
    <s v="Female"/>
    <n v="44"/>
    <n v="1"/>
    <n v="1"/>
    <n v="1"/>
    <x v="7"/>
    <s v="Undeveloped"/>
    <s v="Building"/>
    <s v="Dhaka"/>
    <x v="1"/>
  </r>
  <r>
    <s v="Male"/>
    <n v="62"/>
    <n v="0"/>
    <n v="0"/>
    <n v="0"/>
    <x v="7"/>
    <s v="Developed"/>
    <s v="Building"/>
    <s v="Dhaka"/>
    <x v="0"/>
  </r>
  <r>
    <s v="Male"/>
    <n v="62"/>
    <n v="1"/>
    <n v="1"/>
    <n v="0"/>
    <x v="32"/>
    <s v="Undeveloped"/>
    <s v="Other"/>
    <s v="Dhaka"/>
    <x v="1"/>
  </r>
  <r>
    <s v="Male"/>
    <n v="54"/>
    <n v="1"/>
    <n v="1"/>
    <n v="1"/>
    <x v="20"/>
    <s v="Developed"/>
    <s v="Building"/>
    <s v="Dhaka"/>
    <x v="1"/>
  </r>
  <r>
    <s v="Male"/>
    <n v="62"/>
    <n v="0"/>
    <n v="0"/>
    <n v="1"/>
    <x v="2"/>
    <s v="Undeveloped"/>
    <s v="Tinshed"/>
    <s v="Dhaka"/>
    <x v="0"/>
  </r>
  <r>
    <s v="Male"/>
    <n v="58"/>
    <n v="1"/>
    <n v="1"/>
    <n v="0"/>
    <x v="7"/>
    <s v="Developed"/>
    <s v="Building"/>
    <s v="Dhaka"/>
    <x v="1"/>
  </r>
  <r>
    <s v="Male"/>
    <n v="10"/>
    <n v="1"/>
    <n v="1"/>
    <n v="1"/>
    <x v="8"/>
    <s v="Undeveloped"/>
    <s v="Other"/>
    <s v="Dhaka"/>
    <x v="1"/>
  </r>
  <r>
    <s v="Female"/>
    <n v="47"/>
    <n v="0"/>
    <n v="0"/>
    <n v="1"/>
    <x v="21"/>
    <s v="Developed"/>
    <s v="Building"/>
    <s v="Dhaka"/>
    <x v="0"/>
  </r>
  <r>
    <s v="Female"/>
    <n v="20"/>
    <n v="0"/>
    <n v="0"/>
    <n v="1"/>
    <x v="18"/>
    <s v="Undeveloped"/>
    <s v="Tinshed"/>
    <s v="Dhaka"/>
    <x v="0"/>
  </r>
  <r>
    <s v="Male"/>
    <n v="60"/>
    <n v="0"/>
    <n v="0"/>
    <n v="1"/>
    <x v="18"/>
    <s v="Developed"/>
    <s v="Building"/>
    <s v="Dhaka"/>
    <x v="0"/>
  </r>
  <r>
    <s v="Female"/>
    <n v="28"/>
    <n v="0"/>
    <n v="0"/>
    <n v="0"/>
    <x v="31"/>
    <s v="Undeveloped"/>
    <s v="Tinshed"/>
    <s v="Dhaka"/>
    <x v="0"/>
  </r>
  <r>
    <s v="Female"/>
    <n v="21"/>
    <n v="1"/>
    <n v="1"/>
    <n v="1"/>
    <x v="34"/>
    <s v="Developed"/>
    <s v="Building"/>
    <s v="Dhaka"/>
    <x v="1"/>
  </r>
  <r>
    <s v="Female"/>
    <n v="48"/>
    <n v="1"/>
    <n v="1"/>
    <n v="1"/>
    <x v="35"/>
    <s v="Undeveloped"/>
    <s v="Other"/>
    <s v="Dhaka"/>
    <x v="1"/>
  </r>
  <r>
    <s v="Male"/>
    <n v="45"/>
    <n v="0"/>
    <n v="0"/>
    <n v="0"/>
    <x v="17"/>
    <s v="Developed"/>
    <s v="Other"/>
    <s v="Dhaka"/>
    <x v="0"/>
  </r>
  <r>
    <s v="Male"/>
    <n v="23"/>
    <n v="1"/>
    <n v="1"/>
    <n v="0"/>
    <x v="30"/>
    <s v="Undeveloped"/>
    <s v="Building"/>
    <s v="Dhaka"/>
    <x v="1"/>
  </r>
  <r>
    <s v="Female"/>
    <n v="52"/>
    <n v="0"/>
    <n v="0"/>
    <n v="0"/>
    <x v="17"/>
    <s v="Developed"/>
    <s v="Tinshed"/>
    <s v="Dhaka"/>
    <x v="0"/>
  </r>
  <r>
    <s v="Male"/>
    <n v="28"/>
    <n v="1"/>
    <n v="1"/>
    <n v="1"/>
    <x v="34"/>
    <s v="Undeveloped"/>
    <s v="Building"/>
    <s v="Dhaka"/>
    <x v="1"/>
  </r>
  <r>
    <s v="Male"/>
    <n v="19"/>
    <n v="0"/>
    <n v="0"/>
    <n v="0"/>
    <x v="13"/>
    <s v="Developed"/>
    <s v="Other"/>
    <s v="Dhaka"/>
    <x v="0"/>
  </r>
  <r>
    <s v="Male"/>
    <n v="46"/>
    <n v="1"/>
    <n v="1"/>
    <n v="1"/>
    <x v="16"/>
    <s v="Undeveloped"/>
    <s v="Building"/>
    <s v="Dhaka"/>
    <x v="1"/>
  </r>
  <r>
    <s v="Female"/>
    <n v="61"/>
    <n v="0"/>
    <n v="0"/>
    <n v="0"/>
    <x v="4"/>
    <s v="Developed"/>
    <s v="Tinshed"/>
    <s v="Dhaka"/>
    <x v="0"/>
  </r>
  <r>
    <s v="Female"/>
    <n v="32"/>
    <n v="0"/>
    <n v="0"/>
    <n v="0"/>
    <x v="2"/>
    <s v="Undeveloped"/>
    <s v="Building"/>
    <s v="Dhaka"/>
    <x v="0"/>
  </r>
  <r>
    <s v="Male"/>
    <n v="10"/>
    <n v="1"/>
    <n v="1"/>
    <n v="1"/>
    <x v="16"/>
    <s v="Developed"/>
    <s v="Other"/>
    <s v="Dhaka"/>
    <x v="1"/>
  </r>
  <r>
    <s v="Male"/>
    <n v="27"/>
    <n v="1"/>
    <n v="1"/>
    <n v="1"/>
    <x v="6"/>
    <s v="Undeveloped"/>
    <s v="Other"/>
    <s v="Dhaka"/>
    <x v="1"/>
  </r>
  <r>
    <s v="Female"/>
    <n v="56"/>
    <n v="0"/>
    <n v="0"/>
    <n v="0"/>
    <x v="9"/>
    <s v="Developed"/>
    <s v="Building"/>
    <s v="Dhaka"/>
    <x v="0"/>
  </r>
  <r>
    <s v="Male"/>
    <n v="26"/>
    <n v="0"/>
    <n v="0"/>
    <n v="0"/>
    <x v="24"/>
    <s v="Undeveloped"/>
    <s v="Building"/>
    <s v="Dhaka"/>
    <x v="0"/>
  </r>
  <r>
    <s v="Male"/>
    <n v="15"/>
    <n v="1"/>
    <n v="1"/>
    <n v="0"/>
    <x v="4"/>
    <s v="Developed"/>
    <s v="Other"/>
    <s v="Dhaka"/>
    <x v="1"/>
  </r>
  <r>
    <s v="Female"/>
    <n v="10"/>
    <n v="1"/>
    <n v="1"/>
    <n v="1"/>
    <x v="4"/>
    <s v="Undeveloped"/>
    <s v="Other"/>
    <s v="Dhaka"/>
    <x v="1"/>
  </r>
  <r>
    <s v="Male"/>
    <n v="24"/>
    <n v="1"/>
    <n v="1"/>
    <n v="1"/>
    <x v="16"/>
    <s v="Developed"/>
    <s v="Tinshed"/>
    <s v="Dhaka"/>
    <x v="1"/>
  </r>
  <r>
    <s v="Female"/>
    <n v="51"/>
    <n v="0"/>
    <n v="0"/>
    <n v="1"/>
    <x v="28"/>
    <s v="Undeveloped"/>
    <s v="Tinshed"/>
    <s v="Dhaka"/>
    <x v="0"/>
  </r>
  <r>
    <s v="Female"/>
    <n v="41"/>
    <n v="0"/>
    <n v="0"/>
    <n v="1"/>
    <x v="2"/>
    <s v="Developed"/>
    <s v="Other"/>
    <s v="Dhaka"/>
    <x v="0"/>
  </r>
  <r>
    <s v="Male"/>
    <n v="65"/>
    <n v="1"/>
    <n v="1"/>
    <n v="0"/>
    <x v="28"/>
    <s v="Undeveloped"/>
    <s v="Building"/>
    <s v="Dhaka"/>
    <x v="1"/>
  </r>
  <r>
    <s v="Female"/>
    <n v="51"/>
    <n v="0"/>
    <n v="0"/>
    <n v="1"/>
    <x v="5"/>
    <s v="Developed"/>
    <s v="Building"/>
    <s v="Dhaka"/>
    <x v="0"/>
  </r>
  <r>
    <s v="Male"/>
    <n v="18"/>
    <n v="0"/>
    <n v="0"/>
    <n v="0"/>
    <x v="6"/>
    <s v="Undeveloped"/>
    <s v="Building"/>
    <s v="Dhaka"/>
    <x v="0"/>
  </r>
  <r>
    <s v="Male"/>
    <n v="31"/>
    <n v="0"/>
    <n v="0"/>
    <n v="1"/>
    <x v="24"/>
    <s v="Developed"/>
    <s v="Building"/>
    <s v="Dhaka"/>
    <x v="0"/>
  </r>
  <r>
    <s v="Male"/>
    <n v="30"/>
    <n v="1"/>
    <n v="1"/>
    <n v="0"/>
    <x v="30"/>
    <s v="Undeveloped"/>
    <s v="Building"/>
    <s v="Dhaka"/>
    <x v="1"/>
  </r>
  <r>
    <s v="Male"/>
    <n v="14"/>
    <n v="1"/>
    <n v="1"/>
    <n v="1"/>
    <x v="26"/>
    <s v="Developed"/>
    <s v="Tinshed"/>
    <s v="Dhaka"/>
    <x v="1"/>
  </r>
  <r>
    <s v="Male"/>
    <n v="17"/>
    <n v="1"/>
    <n v="1"/>
    <n v="0"/>
    <x v="6"/>
    <s v="Undeveloped"/>
    <s v="Other"/>
    <s v="Dhaka"/>
    <x v="1"/>
  </r>
  <r>
    <s v="Male"/>
    <n v="63"/>
    <n v="1"/>
    <n v="1"/>
    <n v="0"/>
    <x v="29"/>
    <s v="Developed"/>
    <s v="Tinshed"/>
    <s v="Dhaka"/>
    <x v="1"/>
  </r>
  <r>
    <s v="Male"/>
    <n v="49"/>
    <n v="1"/>
    <n v="1"/>
    <n v="0"/>
    <x v="1"/>
    <s v="Undeveloped"/>
    <s v="Building"/>
    <s v="Dhaka"/>
    <x v="1"/>
  </r>
  <r>
    <s v="Female"/>
    <n v="55"/>
    <n v="0"/>
    <n v="0"/>
    <n v="0"/>
    <x v="31"/>
    <s v="Developed"/>
    <s v="Building"/>
    <s v="Dhaka"/>
    <x v="0"/>
  </r>
  <r>
    <s v="Female"/>
    <n v="17"/>
    <n v="1"/>
    <n v="1"/>
    <n v="0"/>
    <x v="21"/>
    <s v="Undeveloped"/>
    <s v="Other"/>
    <s v="Dhaka"/>
    <x v="1"/>
  </r>
  <r>
    <s v="Male"/>
    <n v="17"/>
    <n v="0"/>
    <n v="0"/>
    <n v="1"/>
    <x v="6"/>
    <s v="Developed"/>
    <s v="Tinshed"/>
    <s v="Dhaka"/>
    <x v="0"/>
  </r>
  <r>
    <s v="Male"/>
    <n v="55"/>
    <n v="1"/>
    <n v="1"/>
    <n v="1"/>
    <x v="16"/>
    <s v="Undeveloped"/>
    <s v="Building"/>
    <s v="Dhaka"/>
    <x v="1"/>
  </r>
  <r>
    <s v="Female"/>
    <n v="57"/>
    <n v="1"/>
    <n v="1"/>
    <n v="0"/>
    <x v="27"/>
    <s v="Developed"/>
    <s v="Other"/>
    <s v="Dhaka"/>
    <x v="1"/>
  </r>
  <r>
    <s v="Male"/>
    <n v="45"/>
    <n v="0"/>
    <n v="0"/>
    <n v="0"/>
    <x v="9"/>
    <s v="Undeveloped"/>
    <s v="Tinshed"/>
    <s v="Dhaka"/>
    <x v="0"/>
  </r>
  <r>
    <s v="Female"/>
    <n v="37"/>
    <n v="0"/>
    <n v="0"/>
    <n v="0"/>
    <x v="10"/>
    <s v="Developed"/>
    <s v="Building"/>
    <s v="Dhaka"/>
    <x v="0"/>
  </r>
  <r>
    <s v="Male"/>
    <n v="47"/>
    <n v="1"/>
    <n v="1"/>
    <n v="1"/>
    <x v="16"/>
    <s v="Undeveloped"/>
    <s v="Other"/>
    <s v="Dhaka"/>
    <x v="1"/>
  </r>
  <r>
    <s v="Female"/>
    <n v="49"/>
    <n v="1"/>
    <n v="1"/>
    <n v="1"/>
    <x v="12"/>
    <s v="Developed"/>
    <s v="Tinshed"/>
    <s v="Dhaka"/>
    <x v="1"/>
  </r>
  <r>
    <s v="Female"/>
    <n v="32"/>
    <n v="1"/>
    <n v="1"/>
    <n v="0"/>
    <x v="13"/>
    <s v="Undeveloped"/>
    <s v="Tinshed"/>
    <s v="Dhaka"/>
    <x v="1"/>
  </r>
  <r>
    <s v="Male"/>
    <n v="33"/>
    <n v="1"/>
    <n v="1"/>
    <n v="0"/>
    <x v="14"/>
    <s v="Developed"/>
    <s v="Building"/>
    <s v="Dhaka"/>
    <x v="1"/>
  </r>
  <r>
    <s v="Female"/>
    <n v="25"/>
    <n v="0"/>
    <n v="0"/>
    <n v="0"/>
    <x v="16"/>
    <s v="Undeveloped"/>
    <s v="Other"/>
    <s v="Dhaka"/>
    <x v="0"/>
  </r>
  <r>
    <s v="Male"/>
    <n v="24"/>
    <n v="0"/>
    <n v="0"/>
    <n v="0"/>
    <x v="28"/>
    <s v="Developed"/>
    <s v="Building"/>
    <s v="Dhaka"/>
    <x v="0"/>
  </r>
  <r>
    <s v="Male"/>
    <n v="22"/>
    <n v="0"/>
    <n v="0"/>
    <n v="0"/>
    <x v="32"/>
    <s v="Undeveloped"/>
    <s v="Building"/>
    <s v="Dhaka"/>
    <x v="0"/>
  </r>
  <r>
    <s v="Female"/>
    <n v="52"/>
    <n v="1"/>
    <n v="1"/>
    <n v="1"/>
    <x v="3"/>
    <s v="Developed"/>
    <s v="Building"/>
    <s v="Dhaka"/>
    <x v="1"/>
  </r>
  <r>
    <s v="Female"/>
    <n v="16"/>
    <n v="1"/>
    <n v="1"/>
    <n v="0"/>
    <x v="8"/>
    <s v="Undeveloped"/>
    <s v="Tinshed"/>
    <s v="Dhaka"/>
    <x v="1"/>
  </r>
  <r>
    <s v="Female"/>
    <n v="19"/>
    <n v="0"/>
    <n v="0"/>
    <n v="0"/>
    <x v="5"/>
    <s v="Developed"/>
    <s v="Building"/>
    <s v="Dhaka"/>
    <x v="0"/>
  </r>
  <r>
    <s v="Female"/>
    <n v="31"/>
    <n v="0"/>
    <n v="0"/>
    <n v="1"/>
    <x v="6"/>
    <s v="Undeveloped"/>
    <s v="Other"/>
    <s v="Dhaka"/>
    <x v="0"/>
  </r>
  <r>
    <s v="Male"/>
    <n v="46"/>
    <n v="0"/>
    <n v="0"/>
    <n v="1"/>
    <x v="29"/>
    <s v="Developed"/>
    <s v="Other"/>
    <s v="Dhaka"/>
    <x v="0"/>
  </r>
  <r>
    <s v="Male"/>
    <n v="61"/>
    <n v="1"/>
    <n v="1"/>
    <n v="0"/>
    <x v="18"/>
    <s v="Undeveloped"/>
    <s v="Tinshed"/>
    <s v="Dhaka"/>
    <x v="1"/>
  </r>
  <r>
    <s v="Female"/>
    <n v="35"/>
    <n v="0"/>
    <n v="0"/>
    <n v="0"/>
    <x v="18"/>
    <s v="Developed"/>
    <s v="Tinshed"/>
    <s v="Dhaka"/>
    <x v="0"/>
  </r>
  <r>
    <s v="Female"/>
    <n v="44"/>
    <n v="1"/>
    <n v="1"/>
    <n v="1"/>
    <x v="8"/>
    <s v="Undeveloped"/>
    <s v="Other"/>
    <s v="Dhaka"/>
    <x v="1"/>
  </r>
  <r>
    <s v="Female"/>
    <n v="12"/>
    <n v="0"/>
    <n v="0"/>
    <n v="1"/>
    <x v="20"/>
    <s v="Developed"/>
    <s v="Tinshed"/>
    <s v="Dhaka"/>
    <x v="0"/>
  </r>
  <r>
    <s v="Male"/>
    <n v="51"/>
    <n v="1"/>
    <n v="1"/>
    <n v="0"/>
    <x v="9"/>
    <s v="Undeveloped"/>
    <s v="Other"/>
    <s v="Dhaka"/>
    <x v="1"/>
  </r>
  <r>
    <s v="Female"/>
    <n v="33"/>
    <n v="1"/>
    <n v="1"/>
    <n v="1"/>
    <x v="10"/>
    <s v="Developed"/>
    <s v="Other"/>
    <s v="Dhaka"/>
    <x v="1"/>
  </r>
  <r>
    <s v="Female"/>
    <n v="53"/>
    <n v="1"/>
    <n v="1"/>
    <n v="1"/>
    <x v="15"/>
    <s v="Undeveloped"/>
    <s v="Building"/>
    <s v="Dhaka"/>
    <x v="1"/>
  </r>
  <r>
    <s v="Male"/>
    <n v="22"/>
    <n v="0"/>
    <n v="0"/>
    <n v="0"/>
    <x v="23"/>
    <s v="Developed"/>
    <s v="Tinshed"/>
    <s v="Dhaka"/>
    <x v="0"/>
  </r>
  <r>
    <s v="Male"/>
    <n v="32"/>
    <n v="0"/>
    <n v="0"/>
    <n v="0"/>
    <x v="17"/>
    <s v="Undeveloped"/>
    <s v="Other"/>
    <s v="Dhaka"/>
    <x v="0"/>
  </r>
  <r>
    <s v="Male"/>
    <n v="36"/>
    <n v="0"/>
    <n v="0"/>
    <n v="1"/>
    <x v="19"/>
    <s v="Developed"/>
    <s v="Tinshed"/>
    <s v="Dhaka"/>
    <x v="0"/>
  </r>
  <r>
    <s v="Female"/>
    <n v="14"/>
    <n v="0"/>
    <n v="0"/>
    <n v="0"/>
    <x v="6"/>
    <s v="Undeveloped"/>
    <s v="Tinshed"/>
    <s v="Dhaka"/>
    <x v="0"/>
  </r>
  <r>
    <s v="Male"/>
    <n v="18"/>
    <n v="1"/>
    <n v="1"/>
    <n v="0"/>
    <x v="21"/>
    <s v="Developed"/>
    <s v="Other"/>
    <s v="Dhaka"/>
    <x v="1"/>
  </r>
  <r>
    <s v="Male"/>
    <n v="52"/>
    <n v="1"/>
    <n v="1"/>
    <n v="1"/>
    <x v="29"/>
    <s v="Undeveloped"/>
    <s v="Building"/>
    <s v="Dhaka"/>
    <x v="1"/>
  </r>
  <r>
    <s v="Female"/>
    <n v="62"/>
    <n v="0"/>
    <n v="0"/>
    <n v="1"/>
    <x v="13"/>
    <s v="Developed"/>
    <s v="Building"/>
    <s v="Dhaka"/>
    <x v="0"/>
  </r>
  <r>
    <s v="Female"/>
    <n v="41"/>
    <n v="0"/>
    <n v="0"/>
    <n v="1"/>
    <x v="29"/>
    <s v="Undeveloped"/>
    <s v="Other"/>
    <s v="Dhaka"/>
    <x v="0"/>
  </r>
  <r>
    <s v="Female"/>
    <n v="25"/>
    <n v="0"/>
    <n v="0"/>
    <n v="1"/>
    <x v="8"/>
    <s v="Developed"/>
    <s v="Other"/>
    <s v="Dhaka"/>
    <x v="0"/>
  </r>
  <r>
    <s v="Male"/>
    <n v="31"/>
    <n v="1"/>
    <n v="1"/>
    <n v="0"/>
    <x v="26"/>
    <s v="Undeveloped"/>
    <s v="Other"/>
    <s v="Dhaka"/>
    <x v="1"/>
  </r>
  <r>
    <s v="Female"/>
    <n v="49"/>
    <n v="0"/>
    <n v="0"/>
    <n v="0"/>
    <x v="19"/>
    <s v="Developed"/>
    <s v="Building"/>
    <s v="Dhaka"/>
    <x v="0"/>
  </r>
  <r>
    <s v="Female"/>
    <n v="39"/>
    <n v="1"/>
    <n v="1"/>
    <n v="1"/>
    <x v="20"/>
    <s v="Undeveloped"/>
    <s v="Other"/>
    <s v="Dhaka"/>
    <x v="1"/>
  </r>
  <r>
    <s v="Female"/>
    <n v="26"/>
    <n v="0"/>
    <n v="0"/>
    <n v="0"/>
    <x v="7"/>
    <s v="Developed"/>
    <s v="Other"/>
    <s v="Dhaka"/>
    <x v="0"/>
  </r>
  <r>
    <s v="Male"/>
    <n v="24"/>
    <n v="0"/>
    <n v="0"/>
    <n v="0"/>
    <x v="22"/>
    <s v="Undeveloped"/>
    <s v="Tinshed"/>
    <s v="Dhaka"/>
    <x v="0"/>
  </r>
  <r>
    <s v="Male"/>
    <n v="30"/>
    <n v="0"/>
    <n v="0"/>
    <n v="0"/>
    <x v="14"/>
    <s v="Developed"/>
    <s v="Tinshed"/>
    <s v="Dhaka"/>
    <x v="0"/>
  </r>
  <r>
    <s v="Male"/>
    <n v="20"/>
    <n v="1"/>
    <n v="1"/>
    <n v="1"/>
    <x v="9"/>
    <s v="Undeveloped"/>
    <s v="Building"/>
    <s v="Dhaka"/>
    <x v="1"/>
  </r>
  <r>
    <s v="Female"/>
    <n v="50"/>
    <n v="1"/>
    <n v="1"/>
    <n v="1"/>
    <x v="24"/>
    <s v="Developed"/>
    <s v="Tinshed"/>
    <s v="Dhaka"/>
    <x v="1"/>
  </r>
  <r>
    <s v="Female"/>
    <n v="13"/>
    <n v="1"/>
    <n v="1"/>
    <n v="0"/>
    <x v="13"/>
    <s v="Undeveloped"/>
    <s v="Other"/>
    <s v="Dhaka"/>
    <x v="1"/>
  </r>
  <r>
    <s v="Male"/>
    <n v="44"/>
    <n v="1"/>
    <n v="1"/>
    <n v="0"/>
    <x v="14"/>
    <s v="Developed"/>
    <s v="Building"/>
    <s v="Dhaka"/>
    <x v="1"/>
  </r>
  <r>
    <s v="Male"/>
    <n v="19"/>
    <n v="1"/>
    <n v="1"/>
    <n v="1"/>
    <x v="9"/>
    <s v="Undeveloped"/>
    <s v="Other"/>
    <s v="Dhaka"/>
    <x v="1"/>
  </r>
  <r>
    <s v="Female"/>
    <n v="53"/>
    <n v="1"/>
    <n v="1"/>
    <n v="1"/>
    <x v="18"/>
    <s v="Developed"/>
    <s v="Tinshed"/>
    <s v="Dhaka"/>
    <x v="1"/>
  </r>
  <r>
    <s v="Female"/>
    <n v="12"/>
    <n v="0"/>
    <n v="0"/>
    <n v="0"/>
    <x v="31"/>
    <s v="Undeveloped"/>
    <s v="Building"/>
    <s v="Dhaka"/>
    <x v="0"/>
  </r>
  <r>
    <s v="Female"/>
    <n v="14"/>
    <n v="0"/>
    <n v="0"/>
    <n v="0"/>
    <x v="28"/>
    <s v="Developed"/>
    <s v="Tinshed"/>
    <s v="Dhaka"/>
    <x v="0"/>
  </r>
  <r>
    <s v="Male"/>
    <n v="30"/>
    <n v="1"/>
    <n v="1"/>
    <n v="1"/>
    <x v="11"/>
    <s v="Undeveloped"/>
    <s v="Building"/>
    <s v="Dhaka"/>
    <x v="1"/>
  </r>
  <r>
    <s v="Female"/>
    <n v="48"/>
    <n v="0"/>
    <n v="0"/>
    <n v="1"/>
    <x v="24"/>
    <s v="Developed"/>
    <s v="Tinshed"/>
    <s v="Dhaka"/>
    <x v="0"/>
  </r>
  <r>
    <s v="Male"/>
    <n v="31"/>
    <n v="0"/>
    <n v="0"/>
    <n v="0"/>
    <x v="24"/>
    <s v="Undeveloped"/>
    <s v="Building"/>
    <s v="Dhaka"/>
    <x v="0"/>
  </r>
  <r>
    <s v="Male"/>
    <n v="16"/>
    <n v="1"/>
    <n v="1"/>
    <n v="0"/>
    <x v="26"/>
    <s v="Developed"/>
    <s v="Building"/>
    <s v="Dhaka"/>
    <x v="1"/>
  </r>
  <r>
    <s v="Male"/>
    <n v="38"/>
    <n v="1"/>
    <n v="1"/>
    <n v="1"/>
    <x v="5"/>
    <s v="Undeveloped"/>
    <s v="Tinshed"/>
    <s v="Dhaka"/>
    <x v="1"/>
  </r>
  <r>
    <s v="Female"/>
    <n v="24"/>
    <n v="1"/>
    <n v="1"/>
    <n v="1"/>
    <x v="23"/>
    <s v="Developed"/>
    <s v="Other"/>
    <s v="Dhaka"/>
    <x v="1"/>
  </r>
  <r>
    <s v="Female"/>
    <n v="28"/>
    <n v="0"/>
    <n v="0"/>
    <n v="1"/>
    <x v="8"/>
    <s v="Undeveloped"/>
    <s v="Tinshed"/>
    <s v="Dhaka"/>
    <x v="0"/>
  </r>
  <r>
    <s v="Female"/>
    <n v="52"/>
    <n v="1"/>
    <n v="1"/>
    <n v="0"/>
    <x v="32"/>
    <s v="Developed"/>
    <s v="Tinshed"/>
    <s v="Dhaka"/>
    <x v="1"/>
  </r>
  <r>
    <s v="Male"/>
    <n v="8"/>
    <n v="1"/>
    <n v="1"/>
    <n v="0"/>
    <x v="14"/>
    <s v="Undeveloped"/>
    <s v="Building"/>
    <s v="Dhaka"/>
    <x v="1"/>
  </r>
  <r>
    <s v="Female"/>
    <n v="54"/>
    <n v="0"/>
    <n v="0"/>
    <n v="0"/>
    <x v="0"/>
    <s v="Developed"/>
    <s v="Building"/>
    <s v="Dhaka"/>
    <x v="0"/>
  </r>
  <r>
    <s v="Female"/>
    <n v="9"/>
    <n v="1"/>
    <n v="1"/>
    <n v="1"/>
    <x v="13"/>
    <s v="Undeveloped"/>
    <s v="Building"/>
    <s v="Dhaka"/>
    <x v="1"/>
  </r>
  <r>
    <s v="Female"/>
    <n v="14"/>
    <n v="1"/>
    <n v="1"/>
    <n v="0"/>
    <x v="15"/>
    <s v="Developed"/>
    <s v="Other"/>
    <s v="Dhaka"/>
    <x v="1"/>
  </r>
  <r>
    <s v="Female"/>
    <n v="12"/>
    <n v="1"/>
    <n v="1"/>
    <n v="0"/>
    <x v="1"/>
    <s v="Undeveloped"/>
    <s v="Other"/>
    <s v="Dhaka"/>
    <x v="1"/>
  </r>
  <r>
    <s v="Female"/>
    <n v="49"/>
    <n v="0"/>
    <n v="0"/>
    <n v="1"/>
    <x v="30"/>
    <s v="Developed"/>
    <s v="Other"/>
    <s v="Dhaka"/>
    <x v="0"/>
  </r>
  <r>
    <s v="Male"/>
    <n v="46"/>
    <n v="0"/>
    <n v="0"/>
    <n v="0"/>
    <x v="15"/>
    <s v="Undeveloped"/>
    <s v="Other"/>
    <s v="Dhaka"/>
    <x v="0"/>
  </r>
  <r>
    <s v="Male"/>
    <n v="35"/>
    <n v="0"/>
    <n v="0"/>
    <n v="1"/>
    <x v="26"/>
    <s v="Developed"/>
    <s v="Building"/>
    <s v="Dhaka"/>
    <x v="0"/>
  </r>
  <r>
    <s v="Female"/>
    <n v="45"/>
    <n v="1"/>
    <n v="1"/>
    <n v="0"/>
    <x v="6"/>
    <s v="Undeveloped"/>
    <s v="Building"/>
    <s v="Dhaka"/>
    <x v="1"/>
  </r>
  <r>
    <s v="Male"/>
    <n v="48"/>
    <n v="0"/>
    <n v="0"/>
    <n v="0"/>
    <x v="34"/>
    <s v="Developed"/>
    <s v="Other"/>
    <s v="Dhaka"/>
    <x v="0"/>
  </r>
  <r>
    <s v="Male"/>
    <n v="50"/>
    <n v="0"/>
    <n v="0"/>
    <n v="0"/>
    <x v="20"/>
    <s v="Undeveloped"/>
    <s v="Other"/>
    <s v="Dhaka"/>
    <x v="0"/>
  </r>
  <r>
    <s v="Male"/>
    <n v="37"/>
    <n v="0"/>
    <n v="0"/>
    <n v="0"/>
    <x v="7"/>
    <s v="Developed"/>
    <s v="Building"/>
    <s v="Dhaka"/>
    <x v="0"/>
  </r>
  <r>
    <s v="Female"/>
    <n v="39"/>
    <n v="0"/>
    <n v="0"/>
    <n v="1"/>
    <x v="22"/>
    <s v="Undeveloped"/>
    <s v="Building"/>
    <s v="Dhaka"/>
    <x v="0"/>
  </r>
  <r>
    <s v="Male"/>
    <n v="56"/>
    <n v="1"/>
    <n v="1"/>
    <n v="0"/>
    <x v="13"/>
    <s v="Developed"/>
    <s v="Building"/>
    <s v="Dhaka"/>
    <x v="1"/>
  </r>
  <r>
    <s v="Female"/>
    <n v="11"/>
    <n v="0"/>
    <n v="0"/>
    <n v="1"/>
    <x v="1"/>
    <s v="Undeveloped"/>
    <s v="Tinshed"/>
    <s v="Dhaka"/>
    <x v="0"/>
  </r>
  <r>
    <s v="Male"/>
    <n v="46"/>
    <n v="1"/>
    <n v="1"/>
    <n v="0"/>
    <x v="30"/>
    <s v="Developed"/>
    <s v="Building"/>
    <s v="Dhaka"/>
    <x v="1"/>
  </r>
  <r>
    <s v="Female"/>
    <n v="32"/>
    <n v="0"/>
    <n v="0"/>
    <n v="1"/>
    <x v="11"/>
    <s v="Undeveloped"/>
    <s v="Tinshed"/>
    <s v="Dhaka"/>
    <x v="0"/>
  </r>
  <r>
    <s v="Male"/>
    <n v="65"/>
    <n v="0"/>
    <n v="0"/>
    <n v="0"/>
    <x v="35"/>
    <s v="Developed"/>
    <s v="Tinshed"/>
    <s v="Dhaka"/>
    <x v="0"/>
  </r>
  <r>
    <s v="Male"/>
    <n v="55"/>
    <n v="1"/>
    <n v="1"/>
    <n v="1"/>
    <x v="21"/>
    <s v="Undeveloped"/>
    <s v="Other"/>
    <s v="Dhaka"/>
    <x v="1"/>
  </r>
  <r>
    <s v="Male"/>
    <n v="34"/>
    <n v="0"/>
    <n v="0"/>
    <n v="1"/>
    <x v="24"/>
    <s v="Developed"/>
    <s v="Other"/>
    <s v="Dhaka"/>
    <x v="0"/>
  </r>
  <r>
    <s v="Male"/>
    <n v="21"/>
    <n v="0"/>
    <n v="0"/>
    <n v="0"/>
    <x v="23"/>
    <s v="Undeveloped"/>
    <s v="Tinshed"/>
    <s v="Dhaka"/>
    <x v="0"/>
  </r>
  <r>
    <s v="Female"/>
    <n v="11"/>
    <n v="0"/>
    <n v="0"/>
    <n v="0"/>
    <x v="6"/>
    <s v="Developed"/>
    <s v="Other"/>
    <s v="Dhaka"/>
    <x v="0"/>
  </r>
  <r>
    <s v="Male"/>
    <n v="46"/>
    <n v="0"/>
    <n v="0"/>
    <n v="0"/>
    <x v="10"/>
    <s v="Undeveloped"/>
    <s v="Building"/>
    <s v="Dhaka"/>
    <x v="0"/>
  </r>
  <r>
    <s v="Male"/>
    <n v="21"/>
    <n v="1"/>
    <n v="1"/>
    <n v="0"/>
    <x v="18"/>
    <s v="Developed"/>
    <s v="Other"/>
    <s v="Dhaka"/>
    <x v="1"/>
  </r>
  <r>
    <s v="Female"/>
    <n v="61"/>
    <n v="0"/>
    <n v="0"/>
    <n v="0"/>
    <x v="5"/>
    <s v="Undeveloped"/>
    <s v="Tinshed"/>
    <s v="Dhaka"/>
    <x v="0"/>
  </r>
  <r>
    <s v="Male"/>
    <n v="35"/>
    <n v="1"/>
    <n v="1"/>
    <n v="1"/>
    <x v="16"/>
    <s v="Developed"/>
    <s v="Building"/>
    <s v="Dhaka"/>
    <x v="1"/>
  </r>
  <r>
    <s v="Female"/>
    <n v="46"/>
    <n v="1"/>
    <n v="1"/>
    <n v="1"/>
    <x v="31"/>
    <s v="Undeveloped"/>
    <s v="Tinshed"/>
    <s v="Dhaka"/>
    <x v="1"/>
  </r>
  <r>
    <s v="Female"/>
    <n v="11"/>
    <n v="0"/>
    <n v="0"/>
    <n v="0"/>
    <x v="18"/>
    <s v="Developed"/>
    <s v="Other"/>
    <s v="Dhaka"/>
    <x v="0"/>
  </r>
  <r>
    <s v="Male"/>
    <n v="49"/>
    <n v="1"/>
    <n v="1"/>
    <n v="0"/>
    <x v="8"/>
    <s v="Undeveloped"/>
    <s v="Building"/>
    <s v="Dhaka"/>
    <x v="1"/>
  </r>
  <r>
    <s v="Female"/>
    <n v="43"/>
    <n v="1"/>
    <n v="1"/>
    <n v="1"/>
    <x v="5"/>
    <s v="Developed"/>
    <s v="Other"/>
    <s v="Dhaka"/>
    <x v="1"/>
  </r>
  <r>
    <s v="Female"/>
    <n v="49"/>
    <n v="1"/>
    <n v="1"/>
    <n v="0"/>
    <x v="28"/>
    <s v="Undeveloped"/>
    <s v="Tinshed"/>
    <s v="Dhaka"/>
    <x v="1"/>
  </r>
  <r>
    <s v="Male"/>
    <n v="46"/>
    <n v="1"/>
    <n v="1"/>
    <n v="0"/>
    <x v="26"/>
    <s v="Developed"/>
    <s v="Tinshed"/>
    <s v="Dhaka"/>
    <x v="1"/>
  </r>
  <r>
    <s v="Female"/>
    <n v="50"/>
    <n v="0"/>
    <n v="0"/>
    <n v="1"/>
    <x v="0"/>
    <s v="Undeveloped"/>
    <s v="Building"/>
    <s v="Dhaka"/>
    <x v="0"/>
  </r>
  <r>
    <s v="Male"/>
    <n v="20"/>
    <n v="0"/>
    <n v="0"/>
    <n v="0"/>
    <x v="9"/>
    <s v="Developed"/>
    <s v="Building"/>
    <s v="Dhaka"/>
    <x v="0"/>
  </r>
  <r>
    <s v="Male"/>
    <n v="58"/>
    <n v="1"/>
    <n v="1"/>
    <n v="1"/>
    <x v="8"/>
    <s v="Undeveloped"/>
    <s v="Tinshed"/>
    <s v="Dhaka"/>
    <x v="1"/>
  </r>
  <r>
    <s v="Female"/>
    <n v="46"/>
    <n v="0"/>
    <n v="0"/>
    <n v="0"/>
    <x v="28"/>
    <s v="Developed"/>
    <s v="Tinshed"/>
    <s v="Dhaka"/>
    <x v="0"/>
  </r>
  <r>
    <s v="Male"/>
    <n v="24"/>
    <n v="0"/>
    <n v="0"/>
    <n v="1"/>
    <x v="9"/>
    <s v="Undeveloped"/>
    <s v="Building"/>
    <s v="Dhaka"/>
    <x v="0"/>
  </r>
  <r>
    <s v="Male"/>
    <n v="29"/>
    <n v="0"/>
    <n v="0"/>
    <n v="0"/>
    <x v="24"/>
    <s v="Developed"/>
    <s v="Other"/>
    <s v="Dhaka"/>
    <x v="0"/>
  </r>
  <r>
    <s v="Male"/>
    <n v="46"/>
    <n v="0"/>
    <n v="0"/>
    <n v="1"/>
    <x v="32"/>
    <s v="Undeveloped"/>
    <s v="Tinshed"/>
    <s v="Dhaka"/>
    <x v="0"/>
  </r>
  <r>
    <s v="Male"/>
    <n v="42"/>
    <n v="1"/>
    <n v="1"/>
    <n v="1"/>
    <x v="33"/>
    <s v="Developed"/>
    <s v="Building"/>
    <s v="Dhaka"/>
    <x v="1"/>
  </r>
  <r>
    <s v="Female"/>
    <n v="56"/>
    <n v="0"/>
    <n v="0"/>
    <n v="0"/>
    <x v="24"/>
    <s v="Undeveloped"/>
    <s v="Other"/>
    <s v="Dhaka"/>
    <x v="0"/>
  </r>
  <r>
    <s v="Male"/>
    <n v="8"/>
    <n v="0"/>
    <n v="0"/>
    <n v="0"/>
    <x v="2"/>
    <s v="Developed"/>
    <s v="Tinshed"/>
    <s v="Dhaka"/>
    <x v="0"/>
  </r>
  <r>
    <s v="Male"/>
    <n v="13"/>
    <n v="0"/>
    <n v="0"/>
    <n v="0"/>
    <x v="23"/>
    <s v="Undeveloped"/>
    <s v="Building"/>
    <s v="Dhaka"/>
    <x v="0"/>
  </r>
  <r>
    <s v="Male"/>
    <n v="10"/>
    <n v="1"/>
    <n v="1"/>
    <n v="0"/>
    <x v="11"/>
    <s v="Developed"/>
    <s v="Tinshed"/>
    <s v="Dhaka"/>
    <x v="1"/>
  </r>
  <r>
    <s v="Male"/>
    <n v="34"/>
    <n v="0"/>
    <n v="0"/>
    <n v="1"/>
    <x v="34"/>
    <s v="Undeveloped"/>
    <s v="Other"/>
    <s v="Dhaka"/>
    <x v="0"/>
  </r>
  <r>
    <s v="Female"/>
    <n v="33"/>
    <n v="1"/>
    <n v="1"/>
    <n v="1"/>
    <x v="26"/>
    <s v="Developed"/>
    <s v="Tinshed"/>
    <s v="Dhaka"/>
    <x v="1"/>
  </r>
  <r>
    <s v="Male"/>
    <n v="43"/>
    <n v="1"/>
    <n v="1"/>
    <n v="0"/>
    <x v="19"/>
    <s v="Undeveloped"/>
    <s v="Other"/>
    <s v="Dhaka"/>
    <x v="1"/>
  </r>
  <r>
    <s v="Female"/>
    <n v="36"/>
    <n v="1"/>
    <n v="1"/>
    <n v="0"/>
    <x v="21"/>
    <s v="Developed"/>
    <s v="Other"/>
    <s v="Dhaka"/>
    <x v="1"/>
  </r>
  <r>
    <s v="Female"/>
    <n v="50"/>
    <n v="1"/>
    <n v="1"/>
    <n v="0"/>
    <x v="9"/>
    <s v="Undeveloped"/>
    <s v="Other"/>
    <s v="Dhaka"/>
    <x v="1"/>
  </r>
  <r>
    <s v="Male"/>
    <n v="14"/>
    <n v="1"/>
    <n v="1"/>
    <n v="0"/>
    <x v="22"/>
    <s v="Developed"/>
    <s v="Building"/>
    <s v="Dhaka"/>
    <x v="1"/>
  </r>
  <r>
    <s v="Male"/>
    <n v="10"/>
    <n v="0"/>
    <n v="0"/>
    <n v="1"/>
    <x v="19"/>
    <s v="Undeveloped"/>
    <s v="Other"/>
    <s v="Dhaka"/>
    <x v="0"/>
  </r>
  <r>
    <s v="Male"/>
    <n v="50"/>
    <n v="1"/>
    <n v="1"/>
    <n v="0"/>
    <x v="18"/>
    <s v="Developed"/>
    <s v="Other"/>
    <s v="Dhaka"/>
    <x v="1"/>
  </r>
  <r>
    <s v="Male"/>
    <n v="62"/>
    <n v="1"/>
    <n v="1"/>
    <n v="0"/>
    <x v="11"/>
    <s v="Undeveloped"/>
    <s v="Other"/>
    <s v="Dhaka"/>
    <x v="1"/>
  </r>
  <r>
    <s v="Female"/>
    <n v="11"/>
    <n v="0"/>
    <n v="0"/>
    <n v="0"/>
    <x v="21"/>
    <s v="Developed"/>
    <s v="Building"/>
    <s v="Dhaka"/>
    <x v="0"/>
  </r>
  <r>
    <s v="Male"/>
    <n v="40"/>
    <n v="1"/>
    <n v="1"/>
    <n v="1"/>
    <x v="30"/>
    <s v="Undeveloped"/>
    <s v="Building"/>
    <s v="Dhaka"/>
    <x v="1"/>
  </r>
  <r>
    <s v="Male"/>
    <n v="50"/>
    <n v="1"/>
    <n v="1"/>
    <n v="1"/>
    <x v="1"/>
    <s v="Developed"/>
    <s v="Building"/>
    <s v="Dhaka"/>
    <x v="1"/>
  </r>
  <r>
    <s v="Male"/>
    <n v="17"/>
    <n v="0"/>
    <n v="0"/>
    <n v="0"/>
    <x v="20"/>
    <s v="Undeveloped"/>
    <s v="Other"/>
    <s v="Dhaka"/>
    <x v="0"/>
  </r>
  <r>
    <s v="Female"/>
    <n v="31"/>
    <n v="1"/>
    <n v="1"/>
    <n v="1"/>
    <x v="33"/>
    <s v="Developed"/>
    <s v="Building"/>
    <s v="Dhaka"/>
    <x v="1"/>
  </r>
  <r>
    <s v="Female"/>
    <n v="53"/>
    <n v="1"/>
    <n v="1"/>
    <n v="1"/>
    <x v="3"/>
    <s v="Undeveloped"/>
    <s v="Building"/>
    <s v="Dhaka"/>
    <x v="1"/>
  </r>
  <r>
    <s v="Male"/>
    <n v="29"/>
    <n v="0"/>
    <n v="0"/>
    <n v="1"/>
    <x v="24"/>
    <s v="Developed"/>
    <s v="Other"/>
    <s v="Dhaka"/>
    <x v="0"/>
  </r>
  <r>
    <s v="Female"/>
    <n v="32"/>
    <n v="1"/>
    <n v="1"/>
    <n v="1"/>
    <x v="10"/>
    <s v="Undeveloped"/>
    <s v="Tinshed"/>
    <s v="Dhaka"/>
    <x v="1"/>
  </r>
  <r>
    <s v="Female"/>
    <n v="45"/>
    <n v="0"/>
    <n v="0"/>
    <n v="0"/>
    <x v="35"/>
    <s v="Developed"/>
    <s v="Other"/>
    <s v="Dhaka"/>
    <x v="0"/>
  </r>
  <r>
    <s v="Male"/>
    <n v="63"/>
    <n v="0"/>
    <n v="0"/>
    <n v="1"/>
    <x v="14"/>
    <s v="Undeveloped"/>
    <s v="Tinshed"/>
    <s v="Dhaka"/>
    <x v="0"/>
  </r>
  <r>
    <s v="Male"/>
    <n v="22"/>
    <n v="1"/>
    <n v="1"/>
    <n v="1"/>
    <x v="29"/>
    <s v="Developed"/>
    <s v="Other"/>
    <s v="Dhaka"/>
    <x v="1"/>
  </r>
  <r>
    <s v="Male"/>
    <n v="46"/>
    <n v="0"/>
    <n v="0"/>
    <n v="0"/>
    <x v="2"/>
    <s v="Undeveloped"/>
    <s v="Tinshed"/>
    <s v="Dhaka"/>
    <x v="0"/>
  </r>
  <r>
    <s v="Male"/>
    <n v="31"/>
    <n v="1"/>
    <n v="1"/>
    <n v="0"/>
    <x v="12"/>
    <s v="Developed"/>
    <s v="Other"/>
    <s v="Dhaka"/>
    <x v="1"/>
  </r>
  <r>
    <s v="Male"/>
    <n v="42"/>
    <n v="1"/>
    <n v="1"/>
    <n v="1"/>
    <x v="34"/>
    <s v="Undeveloped"/>
    <s v="Tinshed"/>
    <s v="Dhaka"/>
    <x v="1"/>
  </r>
  <r>
    <s v="Male"/>
    <n v="54"/>
    <n v="0"/>
    <n v="0"/>
    <n v="0"/>
    <x v="17"/>
    <s v="Developed"/>
    <s v="Other"/>
    <s v="Dhaka"/>
    <x v="0"/>
  </r>
  <r>
    <s v="Female"/>
    <n v="27"/>
    <n v="0"/>
    <n v="0"/>
    <n v="1"/>
    <x v="19"/>
    <s v="Undeveloped"/>
    <s v="Other"/>
    <s v="Dhaka"/>
    <x v="0"/>
  </r>
  <r>
    <s v="Male"/>
    <n v="57"/>
    <n v="1"/>
    <n v="1"/>
    <n v="1"/>
    <x v="6"/>
    <s v="Developed"/>
    <s v="Other"/>
    <s v="Dhaka"/>
    <x v="1"/>
  </r>
  <r>
    <s v="Male"/>
    <n v="46"/>
    <n v="1"/>
    <n v="1"/>
    <n v="1"/>
    <x v="15"/>
    <s v="Undeveloped"/>
    <s v="Tinshed"/>
    <s v="Dhaka"/>
    <x v="1"/>
  </r>
  <r>
    <s v="Male"/>
    <n v="29"/>
    <n v="0"/>
    <n v="0"/>
    <n v="1"/>
    <x v="33"/>
    <s v="Developed"/>
    <s v="Building"/>
    <s v="Dhaka"/>
    <x v="0"/>
  </r>
  <r>
    <s v="Male"/>
    <n v="34"/>
    <n v="1"/>
    <n v="1"/>
    <n v="0"/>
    <x v="8"/>
    <s v="Undeveloped"/>
    <s v="Other"/>
    <s v="Dhaka"/>
    <x v="1"/>
  </r>
  <r>
    <s v="Female"/>
    <n v="41"/>
    <n v="1"/>
    <n v="1"/>
    <n v="1"/>
    <x v="19"/>
    <s v="Developed"/>
    <s v="Other"/>
    <s v="Dhaka"/>
    <x v="1"/>
  </r>
  <r>
    <s v="Female"/>
    <n v="10"/>
    <n v="0"/>
    <n v="0"/>
    <n v="1"/>
    <x v="6"/>
    <s v="Undeveloped"/>
    <s v="Building"/>
    <s v="Dhaka"/>
    <x v="0"/>
  </r>
  <r>
    <s v="Female"/>
    <n v="27"/>
    <n v="1"/>
    <n v="1"/>
    <n v="0"/>
    <x v="3"/>
    <s v="Developed"/>
    <s v="Building"/>
    <s v="Dhaka"/>
    <x v="1"/>
  </r>
  <r>
    <s v="Female"/>
    <n v="26"/>
    <n v="1"/>
    <n v="1"/>
    <n v="1"/>
    <x v="21"/>
    <s v="Undeveloped"/>
    <s v="Tinshed"/>
    <s v="Dhaka"/>
    <x v="1"/>
  </r>
  <r>
    <s v="Female"/>
    <n v="62"/>
    <n v="1"/>
    <n v="1"/>
    <n v="1"/>
    <x v="15"/>
    <s v="Developed"/>
    <s v="Other"/>
    <s v="Dhaka"/>
    <x v="1"/>
  </r>
  <r>
    <s v="Male"/>
    <n v="28"/>
    <n v="1"/>
    <n v="1"/>
    <n v="1"/>
    <x v="9"/>
    <s v="Undeveloped"/>
    <s v="Other"/>
    <s v="Dhaka"/>
    <x v="1"/>
  </r>
  <r>
    <s v="Male"/>
    <n v="44"/>
    <n v="1"/>
    <n v="1"/>
    <n v="0"/>
    <x v="31"/>
    <s v="Developed"/>
    <s v="Other"/>
    <s v="Dhaka"/>
    <x v="1"/>
  </r>
  <r>
    <s v="Male"/>
    <n v="39"/>
    <n v="1"/>
    <n v="1"/>
    <n v="1"/>
    <x v="14"/>
    <s v="Undeveloped"/>
    <s v="Building"/>
    <s v="Dhaka"/>
    <x v="1"/>
  </r>
  <r>
    <s v="Female"/>
    <n v="11"/>
    <n v="0"/>
    <n v="0"/>
    <n v="1"/>
    <x v="32"/>
    <s v="Developed"/>
    <s v="Tinshed"/>
    <s v="Dhaka"/>
    <x v="0"/>
  </r>
  <r>
    <s v="Female"/>
    <n v="51"/>
    <n v="0"/>
    <n v="0"/>
    <n v="1"/>
    <x v="30"/>
    <s v="Undeveloped"/>
    <s v="Other"/>
    <s v="Dhaka"/>
    <x v="0"/>
  </r>
  <r>
    <s v="Female"/>
    <n v="34"/>
    <n v="1"/>
    <n v="1"/>
    <n v="0"/>
    <x v="5"/>
    <s v="Developed"/>
    <s v="Tinshed"/>
    <s v="Dhaka"/>
    <x v="1"/>
  </r>
  <r>
    <s v="Female"/>
    <n v="17"/>
    <n v="0"/>
    <n v="0"/>
    <n v="0"/>
    <x v="27"/>
    <s v="Undeveloped"/>
    <s v="Building"/>
    <s v="Dhaka"/>
    <x v="0"/>
  </r>
  <r>
    <s v="Female"/>
    <n v="12"/>
    <n v="1"/>
    <n v="1"/>
    <n v="0"/>
    <x v="34"/>
    <s v="Developed"/>
    <s v="Other"/>
    <s v="Dhaka"/>
    <x v="1"/>
  </r>
  <r>
    <s v="Male"/>
    <n v="51"/>
    <n v="0"/>
    <n v="0"/>
    <n v="1"/>
    <x v="33"/>
    <s v="Undeveloped"/>
    <s v="Other"/>
    <s v="Dhaka"/>
    <x v="0"/>
  </r>
  <r>
    <s v="Female"/>
    <n v="49"/>
    <n v="0"/>
    <n v="0"/>
    <n v="1"/>
    <x v="12"/>
    <s v="Developed"/>
    <s v="Tinshed"/>
    <s v="Dhaka"/>
    <x v="0"/>
  </r>
  <r>
    <s v="Male"/>
    <n v="40"/>
    <n v="1"/>
    <n v="1"/>
    <n v="0"/>
    <x v="30"/>
    <s v="Undeveloped"/>
    <s v="Other"/>
    <s v="Dhaka"/>
    <x v="1"/>
  </r>
  <r>
    <s v="Male"/>
    <n v="50"/>
    <n v="0"/>
    <n v="0"/>
    <n v="1"/>
    <x v="15"/>
    <s v="Developed"/>
    <s v="Tinshed"/>
    <s v="Dhaka"/>
    <x v="0"/>
  </r>
  <r>
    <s v="Female"/>
    <n v="31"/>
    <n v="1"/>
    <n v="1"/>
    <n v="1"/>
    <x v="7"/>
    <s v="Undeveloped"/>
    <s v="Building"/>
    <s v="Dhaka"/>
    <x v="1"/>
  </r>
  <r>
    <s v="Male"/>
    <n v="49"/>
    <n v="1"/>
    <n v="1"/>
    <n v="1"/>
    <x v="30"/>
    <s v="Developed"/>
    <s v="Building"/>
    <s v="Dhaka"/>
    <x v="1"/>
  </r>
  <r>
    <s v="Male"/>
    <n v="35"/>
    <n v="1"/>
    <n v="1"/>
    <n v="0"/>
    <x v="10"/>
    <s v="Undeveloped"/>
    <s v="Tinshed"/>
    <s v="Dhaka"/>
    <x v="1"/>
  </r>
  <r>
    <s v="Female"/>
    <n v="16"/>
    <n v="1"/>
    <n v="1"/>
    <n v="0"/>
    <x v="20"/>
    <s v="Developed"/>
    <s v="Tinshed"/>
    <s v="Dhaka"/>
    <x v="1"/>
  </r>
  <r>
    <s v="Female"/>
    <n v="37"/>
    <n v="0"/>
    <n v="0"/>
    <n v="0"/>
    <x v="11"/>
    <s v="Undeveloped"/>
    <s v="Other"/>
    <s v="Dhaka"/>
    <x v="0"/>
  </r>
  <r>
    <s v="Female"/>
    <n v="48"/>
    <n v="0"/>
    <n v="0"/>
    <n v="0"/>
    <x v="18"/>
    <s v="Developed"/>
    <s v="Other"/>
    <s v="Dhaka"/>
    <x v="0"/>
  </r>
  <r>
    <s v="Male"/>
    <n v="11"/>
    <n v="0"/>
    <n v="0"/>
    <n v="0"/>
    <x v="20"/>
    <s v="Undeveloped"/>
    <s v="Tinshed"/>
    <s v="Dhaka"/>
    <x v="0"/>
  </r>
  <r>
    <s v="Male"/>
    <n v="21"/>
    <n v="1"/>
    <n v="1"/>
    <n v="1"/>
    <x v="12"/>
    <s v="Developed"/>
    <s v="Other"/>
    <s v="Dhaka"/>
    <x v="1"/>
  </r>
  <r>
    <s v="Male"/>
    <n v="45"/>
    <n v="1"/>
    <n v="1"/>
    <n v="0"/>
    <x v="12"/>
    <s v="Undeveloped"/>
    <s v="Other"/>
    <s v="Dhaka"/>
    <x v="1"/>
  </r>
  <r>
    <s v="Male"/>
    <n v="53"/>
    <n v="0"/>
    <n v="0"/>
    <n v="1"/>
    <x v="20"/>
    <s v="Developed"/>
    <s v="Other"/>
    <s v="Dhaka"/>
    <x v="0"/>
  </r>
  <r>
    <s v="Female"/>
    <n v="13"/>
    <n v="1"/>
    <n v="1"/>
    <n v="1"/>
    <x v="26"/>
    <s v="Undeveloped"/>
    <s v="Tinshed"/>
    <s v="Dhaka"/>
    <x v="1"/>
  </r>
  <r>
    <s v="Female"/>
    <n v="18"/>
    <n v="0"/>
    <n v="0"/>
    <n v="1"/>
    <x v="20"/>
    <s v="Developed"/>
    <s v="Building"/>
    <s v="Dhaka"/>
    <x v="0"/>
  </r>
  <r>
    <s v="Male"/>
    <n v="34"/>
    <n v="1"/>
    <n v="1"/>
    <n v="1"/>
    <x v="23"/>
    <s v="Undeveloped"/>
    <s v="Other"/>
    <s v="Dhaka"/>
    <x v="1"/>
  </r>
  <r>
    <s v="Male"/>
    <n v="22"/>
    <n v="0"/>
    <n v="0"/>
    <n v="0"/>
    <x v="17"/>
    <s v="Developed"/>
    <s v="Other"/>
    <s v="Dhaka"/>
    <x v="0"/>
  </r>
  <r>
    <s v="Male"/>
    <n v="39"/>
    <n v="1"/>
    <n v="1"/>
    <n v="1"/>
    <x v="32"/>
    <s v="Undeveloped"/>
    <s v="Other"/>
    <s v="Dhaka"/>
    <x v="1"/>
  </r>
  <r>
    <s v="Male"/>
    <n v="21"/>
    <n v="0"/>
    <n v="0"/>
    <n v="0"/>
    <x v="24"/>
    <s v="Developed"/>
    <s v="Tinshed"/>
    <s v="Dhaka"/>
    <x v="0"/>
  </r>
  <r>
    <s v="Male"/>
    <n v="64"/>
    <n v="0"/>
    <n v="0"/>
    <n v="0"/>
    <x v="2"/>
    <s v="Undeveloped"/>
    <s v="Building"/>
    <s v="Dhaka"/>
    <x v="0"/>
  </r>
  <r>
    <s v="Female"/>
    <n v="53"/>
    <n v="0"/>
    <n v="0"/>
    <n v="0"/>
    <x v="2"/>
    <s v="Developed"/>
    <s v="Other"/>
    <s v="Dhaka"/>
    <x v="0"/>
  </r>
  <r>
    <s v="Female"/>
    <n v="21"/>
    <n v="1"/>
    <n v="1"/>
    <n v="1"/>
    <x v="3"/>
    <s v="Undeveloped"/>
    <s v="Building"/>
    <s v="Dhaka"/>
    <x v="1"/>
  </r>
  <r>
    <s v="Female"/>
    <n v="40"/>
    <n v="1"/>
    <n v="1"/>
    <n v="1"/>
    <x v="15"/>
    <s v="Developed"/>
    <s v="Building"/>
    <s v="Dhaka"/>
    <x v="1"/>
  </r>
  <r>
    <s v="Male"/>
    <n v="39"/>
    <n v="1"/>
    <n v="1"/>
    <n v="1"/>
    <x v="5"/>
    <s v="Undeveloped"/>
    <s v="Building"/>
    <s v="Dhaka"/>
    <x v="1"/>
  </r>
  <r>
    <s v="Female"/>
    <n v="47"/>
    <n v="1"/>
    <n v="1"/>
    <n v="1"/>
    <x v="5"/>
    <s v="Developed"/>
    <s v="Tinshed"/>
    <s v="Dhaka"/>
    <x v="1"/>
  </r>
  <r>
    <s v="Male"/>
    <n v="52"/>
    <n v="0"/>
    <n v="0"/>
    <n v="1"/>
    <x v="10"/>
    <s v="Undeveloped"/>
    <s v="Other"/>
    <s v="Dhaka"/>
    <x v="0"/>
  </r>
  <r>
    <s v="Female"/>
    <n v="17"/>
    <n v="1"/>
    <n v="1"/>
    <n v="1"/>
    <x v="10"/>
    <s v="Developed"/>
    <s v="Building"/>
    <s v="Dhaka"/>
    <x v="1"/>
  </r>
  <r>
    <s v="Male"/>
    <n v="65"/>
    <n v="0"/>
    <n v="0"/>
    <n v="0"/>
    <x v="13"/>
    <s v="Undeveloped"/>
    <s v="Tinshed"/>
    <s v="Dhaka"/>
    <x v="0"/>
  </r>
  <r>
    <s v="Male"/>
    <n v="32"/>
    <n v="0"/>
    <n v="0"/>
    <n v="1"/>
    <x v="1"/>
    <s v="Developed"/>
    <s v="Tinshed"/>
    <s v="Dhaka"/>
    <x v="0"/>
  </r>
  <r>
    <s v="Male"/>
    <n v="8"/>
    <n v="1"/>
    <n v="1"/>
    <n v="0"/>
    <x v="26"/>
    <s v="Undeveloped"/>
    <s v="Building"/>
    <s v="Dhaka"/>
    <x v="1"/>
  </r>
  <r>
    <s v="Female"/>
    <n v="55"/>
    <n v="0"/>
    <n v="0"/>
    <n v="1"/>
    <x v="17"/>
    <s v="Developed"/>
    <s v="Building"/>
    <s v="Dhaka"/>
    <x v="0"/>
  </r>
  <r>
    <s v="Male"/>
    <n v="47"/>
    <n v="0"/>
    <n v="0"/>
    <n v="0"/>
    <x v="33"/>
    <s v="Undeveloped"/>
    <s v="Other"/>
    <s v="Dhaka"/>
    <x v="0"/>
  </r>
  <r>
    <s v="Male"/>
    <n v="47"/>
    <n v="0"/>
    <n v="0"/>
    <n v="0"/>
    <x v="14"/>
    <s v="Developed"/>
    <s v="Other"/>
    <s v="Dhaka"/>
    <x v="0"/>
  </r>
  <r>
    <s v="Male"/>
    <n v="47"/>
    <n v="0"/>
    <n v="0"/>
    <n v="0"/>
    <x v="35"/>
    <s v="Undeveloped"/>
    <s v="Building"/>
    <s v="Dhaka"/>
    <x v="0"/>
  </r>
  <r>
    <s v="Female"/>
    <n v="26"/>
    <n v="1"/>
    <n v="1"/>
    <n v="0"/>
    <x v="28"/>
    <s v="Developed"/>
    <s v="Other"/>
    <s v="Dhaka"/>
    <x v="1"/>
  </r>
  <r>
    <s v="Male"/>
    <n v="36"/>
    <n v="0"/>
    <n v="0"/>
    <n v="0"/>
    <x v="20"/>
    <s v="Undeveloped"/>
    <s v="Other"/>
    <s v="Dhaka"/>
    <x v="0"/>
  </r>
  <r>
    <s v="Male"/>
    <n v="45"/>
    <n v="1"/>
    <n v="1"/>
    <n v="0"/>
    <x v="30"/>
    <s v="Developed"/>
    <s v="Building"/>
    <s v="Dhaka"/>
    <x v="1"/>
  </r>
  <r>
    <s v="Female"/>
    <n v="24"/>
    <n v="0"/>
    <n v="0"/>
    <n v="0"/>
    <x v="0"/>
    <s v="Undeveloped"/>
    <s v="Building"/>
    <s v="Dhaka"/>
    <x v="0"/>
  </r>
  <r>
    <s v="Female"/>
    <n v="15"/>
    <n v="0"/>
    <n v="0"/>
    <n v="1"/>
    <x v="10"/>
    <s v="Developed"/>
    <s v="Building"/>
    <s v="Dhaka"/>
    <x v="0"/>
  </r>
  <r>
    <s v="Male"/>
    <n v="32"/>
    <n v="1"/>
    <n v="1"/>
    <n v="0"/>
    <x v="20"/>
    <s v="Undeveloped"/>
    <s v="Tinshed"/>
    <s v="Dhaka"/>
    <x v="1"/>
  </r>
  <r>
    <s v="Female"/>
    <n v="28"/>
    <n v="1"/>
    <n v="1"/>
    <n v="0"/>
    <x v="0"/>
    <s v="Developed"/>
    <s v="Tinshed"/>
    <s v="Dhaka"/>
    <x v="1"/>
  </r>
  <r>
    <s v="Male"/>
    <n v="53"/>
    <n v="1"/>
    <n v="1"/>
    <n v="1"/>
    <x v="35"/>
    <s v="Undeveloped"/>
    <s v="Building"/>
    <s v="Dhaka"/>
    <x v="1"/>
  </r>
  <r>
    <s v="Male"/>
    <n v="58"/>
    <n v="1"/>
    <n v="1"/>
    <n v="0"/>
    <x v="1"/>
    <s v="Developed"/>
    <s v="Tinshed"/>
    <s v="Dhaka"/>
    <x v="1"/>
  </r>
  <r>
    <s v="Female"/>
    <n v="8"/>
    <n v="0"/>
    <n v="0"/>
    <n v="1"/>
    <x v="8"/>
    <s v="Undeveloped"/>
    <s v="Tinshed"/>
    <s v="Dhaka"/>
    <x v="0"/>
  </r>
  <r>
    <s v="Male"/>
    <n v="35"/>
    <n v="0"/>
    <n v="0"/>
    <n v="1"/>
    <x v="1"/>
    <s v="Developed"/>
    <s v="Tinshed"/>
    <s v="Dhaka"/>
    <x v="0"/>
  </r>
  <r>
    <s v="Male"/>
    <n v="44"/>
    <n v="1"/>
    <n v="1"/>
    <n v="1"/>
    <x v="31"/>
    <s v="Undeveloped"/>
    <s v="Other"/>
    <s v="Dhaka"/>
    <x v="1"/>
  </r>
  <r>
    <s v="Female"/>
    <n v="30"/>
    <n v="1"/>
    <n v="1"/>
    <n v="1"/>
    <x v="2"/>
    <s v="Developed"/>
    <s v="Other"/>
    <s v="Dhaka"/>
    <x v="1"/>
  </r>
  <r>
    <s v="Male"/>
    <n v="16"/>
    <n v="0"/>
    <n v="0"/>
    <n v="1"/>
    <x v="29"/>
    <s v="Undeveloped"/>
    <s v="Other"/>
    <s v="Dhaka"/>
    <x v="0"/>
  </r>
  <r>
    <s v="Male"/>
    <n v="54"/>
    <n v="1"/>
    <n v="1"/>
    <n v="1"/>
    <x v="1"/>
    <s v="Developed"/>
    <s v="Building"/>
    <s v="Dhaka"/>
    <x v="1"/>
  </r>
  <r>
    <s v="Male"/>
    <n v="54"/>
    <n v="1"/>
    <n v="1"/>
    <n v="1"/>
    <x v="22"/>
    <s v="Undeveloped"/>
    <s v="Tinshed"/>
    <s v="Dhaka"/>
    <x v="1"/>
  </r>
  <r>
    <s v="Male"/>
    <n v="18"/>
    <n v="1"/>
    <n v="1"/>
    <n v="1"/>
    <x v="0"/>
    <s v="Developed"/>
    <s v="Building"/>
    <s v="Dhaka"/>
    <x v="1"/>
  </r>
  <r>
    <s v="Female"/>
    <n v="19"/>
    <n v="1"/>
    <n v="1"/>
    <n v="1"/>
    <x v="25"/>
    <s v="Undeveloped"/>
    <s v="Tinshed"/>
    <s v="Dhaka"/>
    <x v="1"/>
  </r>
  <r>
    <s v="Female"/>
    <n v="47"/>
    <n v="0"/>
    <n v="0"/>
    <n v="1"/>
    <x v="6"/>
    <s v="Developed"/>
    <s v="Tinshed"/>
    <s v="Dhaka"/>
    <x v="0"/>
  </r>
  <r>
    <s v="Female"/>
    <n v="38"/>
    <n v="0"/>
    <n v="0"/>
    <n v="1"/>
    <x v="6"/>
    <s v="Undeveloped"/>
    <s v="Other"/>
    <s v="Dhaka"/>
    <x v="0"/>
  </r>
  <r>
    <s v="Male"/>
    <n v="20"/>
    <n v="0"/>
    <n v="0"/>
    <n v="0"/>
    <x v="20"/>
    <s v="Developed"/>
    <s v="Building"/>
    <s v="Dhaka"/>
    <x v="0"/>
  </r>
  <r>
    <s v="Male"/>
    <n v="65"/>
    <n v="1"/>
    <n v="1"/>
    <n v="0"/>
    <x v="10"/>
    <s v="Undeveloped"/>
    <s v="Tinshed"/>
    <s v="Dhaka"/>
    <x v="1"/>
  </r>
  <r>
    <s v="Female"/>
    <n v="29"/>
    <n v="1"/>
    <n v="1"/>
    <n v="0"/>
    <x v="21"/>
    <s v="Developed"/>
    <s v="Building"/>
    <s v="Dhaka"/>
    <x v="1"/>
  </r>
  <r>
    <s v="Female"/>
    <n v="8"/>
    <n v="0"/>
    <n v="0"/>
    <n v="0"/>
    <x v="27"/>
    <s v="Undeveloped"/>
    <s v="Building"/>
    <s v="Dhaka"/>
    <x v="0"/>
  </r>
  <r>
    <s v="Female"/>
    <n v="45"/>
    <n v="1"/>
    <n v="1"/>
    <n v="1"/>
    <x v="5"/>
    <s v="Developed"/>
    <s v="Building"/>
    <s v="Dhaka"/>
    <x v="1"/>
  </r>
  <r>
    <s v="Female"/>
    <n v="9"/>
    <n v="1"/>
    <n v="1"/>
    <n v="0"/>
    <x v="23"/>
    <s v="Undeveloped"/>
    <s v="Building"/>
    <s v="Dhaka"/>
    <x v="1"/>
  </r>
  <r>
    <s v="Male"/>
    <n v="27"/>
    <n v="0"/>
    <n v="0"/>
    <n v="0"/>
    <x v="28"/>
    <s v="Developed"/>
    <s v="Building"/>
    <s v="Dhaka"/>
    <x v="0"/>
  </r>
  <r>
    <s v="Male"/>
    <n v="59"/>
    <n v="1"/>
    <n v="1"/>
    <n v="1"/>
    <x v="31"/>
    <s v="Undeveloped"/>
    <s v="Other"/>
    <s v="Dhaka"/>
    <x v="1"/>
  </r>
  <r>
    <s v="Female"/>
    <n v="16"/>
    <n v="1"/>
    <n v="1"/>
    <n v="0"/>
    <x v="2"/>
    <s v="Developed"/>
    <s v="Tinshed"/>
    <s v="Dhaka"/>
    <x v="1"/>
  </r>
  <r>
    <s v="Female"/>
    <n v="8"/>
    <n v="0"/>
    <n v="0"/>
    <n v="0"/>
    <x v="34"/>
    <s v="Undeveloped"/>
    <s v="Other"/>
    <s v="Dhaka"/>
    <x v="0"/>
  </r>
  <r>
    <s v="Female"/>
    <n v="36"/>
    <n v="1"/>
    <n v="1"/>
    <n v="0"/>
    <x v="28"/>
    <s v="Developed"/>
    <s v="Tinshed"/>
    <s v="Dhaka"/>
    <x v="1"/>
  </r>
  <r>
    <s v="Male"/>
    <n v="38"/>
    <n v="0"/>
    <n v="0"/>
    <n v="1"/>
    <x v="19"/>
    <s v="Undeveloped"/>
    <s v="Building"/>
    <s v="Dhaka"/>
    <x v="0"/>
  </r>
  <r>
    <s v="Female"/>
    <n v="56"/>
    <n v="1"/>
    <n v="1"/>
    <n v="1"/>
    <x v="17"/>
    <s v="Developed"/>
    <s v="Building"/>
    <s v="Dhaka"/>
    <x v="1"/>
  </r>
  <r>
    <s v="Male"/>
    <n v="35"/>
    <n v="1"/>
    <n v="1"/>
    <n v="0"/>
    <x v="0"/>
    <s v="Undeveloped"/>
    <s v="Other"/>
    <s v="Dhaka"/>
    <x v="1"/>
  </r>
  <r>
    <s v="Female"/>
    <n v="18"/>
    <n v="1"/>
    <n v="1"/>
    <n v="0"/>
    <x v="30"/>
    <s v="Developed"/>
    <s v="Tinshed"/>
    <s v="Dhaka"/>
    <x v="1"/>
  </r>
  <r>
    <s v="Female"/>
    <n v="13"/>
    <n v="1"/>
    <n v="1"/>
    <n v="0"/>
    <x v="24"/>
    <s v="Undeveloped"/>
    <s v="Other"/>
    <s v="Dhaka"/>
    <x v="1"/>
  </r>
  <r>
    <s v="Male"/>
    <n v="23"/>
    <n v="0"/>
    <n v="1"/>
    <n v="0"/>
    <x v="10"/>
    <s v="Developed"/>
    <s v="Building"/>
    <s v="Dhaka"/>
    <x v="1"/>
  </r>
  <r>
    <s v="Female"/>
    <n v="14"/>
    <n v="1"/>
    <n v="1"/>
    <n v="1"/>
    <x v="29"/>
    <s v="Undeveloped"/>
    <s v="Building"/>
    <s v="Dhaka"/>
    <x v="1"/>
  </r>
  <r>
    <s v="Female"/>
    <n v="21"/>
    <n v="1"/>
    <n v="1"/>
    <n v="0"/>
    <x v="13"/>
    <s v="Developed"/>
    <s v="Other"/>
    <s v="Dhaka"/>
    <x v="1"/>
  </r>
  <r>
    <s v="Male"/>
    <n v="39"/>
    <n v="1"/>
    <n v="1"/>
    <n v="1"/>
    <x v="26"/>
    <s v="Undeveloped"/>
    <s v="Other"/>
    <s v="Dhaka"/>
    <x v="1"/>
  </r>
  <r>
    <s v="Female"/>
    <n v="39"/>
    <n v="1"/>
    <n v="1"/>
    <n v="1"/>
    <x v="0"/>
    <s v="Developed"/>
    <s v="Building"/>
    <s v="Dhaka"/>
    <x v="1"/>
  </r>
  <r>
    <s v="Male"/>
    <n v="34"/>
    <n v="0"/>
    <n v="0"/>
    <n v="0"/>
    <x v="2"/>
    <s v="Undeveloped"/>
    <s v="Other"/>
    <s v="Dhaka"/>
    <x v="0"/>
  </r>
  <r>
    <s v="Female"/>
    <n v="36"/>
    <n v="1"/>
    <n v="1"/>
    <n v="1"/>
    <x v="19"/>
    <s v="Developed"/>
    <s v="Building"/>
    <s v="Dhaka"/>
    <x v="1"/>
  </r>
  <r>
    <s v="Female"/>
    <n v="43"/>
    <n v="0"/>
    <n v="1"/>
    <n v="0"/>
    <x v="22"/>
    <s v="Undeveloped"/>
    <s v="Tinshed"/>
    <s v="Dhaka"/>
    <x v="1"/>
  </r>
  <r>
    <s v="Male"/>
    <n v="39"/>
    <n v="1"/>
    <n v="1"/>
    <n v="1"/>
    <x v="18"/>
    <s v="Developed"/>
    <s v="Building"/>
    <s v="Dhaka"/>
    <x v="1"/>
  </r>
  <r>
    <s v="Female"/>
    <n v="53"/>
    <n v="1"/>
    <n v="1"/>
    <n v="1"/>
    <x v="26"/>
    <s v="Undeveloped"/>
    <s v="Other"/>
    <s v="Dhaka"/>
    <x v="1"/>
  </r>
  <r>
    <s v="Male"/>
    <n v="45"/>
    <n v="1"/>
    <n v="1"/>
    <n v="1"/>
    <x v="21"/>
    <s v="Developed"/>
    <s v="Tinshed"/>
    <s v="Dhaka"/>
    <x v="1"/>
  </r>
  <r>
    <s v="Female"/>
    <n v="12"/>
    <n v="0"/>
    <n v="0"/>
    <n v="1"/>
    <x v="18"/>
    <s v="Undeveloped"/>
    <s v="Building"/>
    <s v="Dhaka"/>
    <x v="0"/>
  </r>
  <r>
    <s v="Female"/>
    <n v="28"/>
    <n v="1"/>
    <n v="1"/>
    <n v="0"/>
    <x v="3"/>
    <s v="Developed"/>
    <s v="Other"/>
    <s v="Dhaka"/>
    <x v="1"/>
  </r>
  <r>
    <s v="Male"/>
    <n v="14"/>
    <n v="1"/>
    <n v="1"/>
    <n v="0"/>
    <x v="23"/>
    <s v="Undeveloped"/>
    <s v="Building"/>
    <s v="Dhaka"/>
    <x v="1"/>
  </r>
  <r>
    <s v="Male"/>
    <n v="10"/>
    <n v="0"/>
    <n v="0"/>
    <n v="0"/>
    <x v="34"/>
    <s v="Developed"/>
    <s v="Building"/>
    <s v="Dhaka"/>
    <x v="0"/>
  </r>
  <r>
    <s v="Male"/>
    <n v="64"/>
    <n v="1"/>
    <n v="1"/>
    <n v="0"/>
    <x v="15"/>
    <s v="Undeveloped"/>
    <s v="Other"/>
    <s v="Dhaka"/>
    <x v="1"/>
  </r>
  <r>
    <s v="Male"/>
    <n v="8"/>
    <n v="1"/>
    <n v="1"/>
    <n v="0"/>
    <x v="15"/>
    <s v="Developed"/>
    <s v="Tinshed"/>
    <s v="Dhaka"/>
    <x v="1"/>
  </r>
  <r>
    <s v="Female"/>
    <n v="43"/>
    <n v="0"/>
    <n v="0"/>
    <n v="1"/>
    <x v="23"/>
    <s v="Undeveloped"/>
    <s v="Other"/>
    <s v="Dhaka"/>
    <x v="0"/>
  </r>
  <r>
    <s v="Male"/>
    <n v="16"/>
    <n v="0"/>
    <n v="0"/>
    <n v="0"/>
    <x v="25"/>
    <s v="Developed"/>
    <s v="Building"/>
    <s v="Dhaka"/>
    <x v="0"/>
  </r>
  <r>
    <s v="Female"/>
    <n v="62"/>
    <n v="1"/>
    <n v="1"/>
    <n v="1"/>
    <x v="13"/>
    <s v="Undeveloped"/>
    <s v="Tinshed"/>
    <s v="Dhaka"/>
    <x v="1"/>
  </r>
  <r>
    <s v="Female"/>
    <n v="35"/>
    <n v="0"/>
    <n v="0"/>
    <n v="0"/>
    <x v="16"/>
    <s v="Developed"/>
    <s v="Building"/>
    <s v="Dhaka"/>
    <x v="0"/>
  </r>
  <r>
    <s v="Male"/>
    <n v="36"/>
    <n v="0"/>
    <n v="0"/>
    <n v="0"/>
    <x v="1"/>
    <s v="Undeveloped"/>
    <s v="Other"/>
    <s v="Dhaka"/>
    <x v="0"/>
  </r>
  <r>
    <s v="Female"/>
    <n v="15"/>
    <n v="1"/>
    <n v="1"/>
    <n v="0"/>
    <x v="11"/>
    <s v="Developed"/>
    <s v="Building"/>
    <s v="Dhaka"/>
    <x v="1"/>
  </r>
  <r>
    <s v="Female"/>
    <n v="11"/>
    <n v="1"/>
    <n v="1"/>
    <n v="0"/>
    <x v="15"/>
    <s v="Undeveloped"/>
    <s v="Building"/>
    <s v="Dhaka"/>
    <x v="1"/>
  </r>
  <r>
    <s v="Male"/>
    <n v="27"/>
    <n v="1"/>
    <n v="1"/>
    <n v="0"/>
    <x v="23"/>
    <s v="Developed"/>
    <s v="Other"/>
    <s v="Dhaka"/>
    <x v="1"/>
  </r>
  <r>
    <s v="Male"/>
    <n v="20"/>
    <n v="0"/>
    <n v="0"/>
    <n v="0"/>
    <x v="11"/>
    <s v="Undeveloped"/>
    <s v="Other"/>
    <s v="Dhaka"/>
    <x v="0"/>
  </r>
  <r>
    <s v="Male"/>
    <n v="28"/>
    <n v="1"/>
    <n v="1"/>
    <n v="0"/>
    <x v="12"/>
    <s v="Developed"/>
    <s v="Tinshed"/>
    <s v="Dhaka"/>
    <x v="1"/>
  </r>
  <r>
    <s v="Male"/>
    <n v="60"/>
    <n v="1"/>
    <n v="1"/>
    <n v="0"/>
    <x v="1"/>
    <s v="Undeveloped"/>
    <s v="Other"/>
    <s v="Dhaka"/>
    <x v="1"/>
  </r>
  <r>
    <s v="Male"/>
    <n v="10"/>
    <n v="1"/>
    <n v="1"/>
    <n v="1"/>
    <x v="30"/>
    <s v="Developed"/>
    <s v="Other"/>
    <s v="Dhaka"/>
    <x v="1"/>
  </r>
  <r>
    <s v="Female"/>
    <n v="39"/>
    <n v="0"/>
    <n v="0"/>
    <n v="1"/>
    <x v="29"/>
    <s v="Undeveloped"/>
    <s v="Tinshed"/>
    <s v="Dhaka"/>
    <x v="0"/>
  </r>
  <r>
    <s v="Male"/>
    <n v="52"/>
    <n v="0"/>
    <n v="0"/>
    <n v="1"/>
    <x v="34"/>
    <s v="Developed"/>
    <s v="Tinshed"/>
    <s v="Dhaka"/>
    <x v="0"/>
  </r>
  <r>
    <s v="Female"/>
    <n v="36"/>
    <n v="1"/>
    <n v="1"/>
    <n v="0"/>
    <x v="30"/>
    <s v="Undeveloped"/>
    <s v="Tinshed"/>
    <s v="Dhaka"/>
    <x v="1"/>
  </r>
  <r>
    <s v="Female"/>
    <n v="39"/>
    <n v="0"/>
    <n v="0"/>
    <n v="0"/>
    <x v="33"/>
    <s v="Developed"/>
    <s v="Building"/>
    <s v="Dhaka"/>
    <x v="0"/>
  </r>
  <r>
    <s v="Male"/>
    <n v="13"/>
    <n v="0"/>
    <n v="0"/>
    <n v="1"/>
    <x v="27"/>
    <s v="Undeveloped"/>
    <s v="Other"/>
    <s v="Dhaka"/>
    <x v="0"/>
  </r>
  <r>
    <s v="Female"/>
    <n v="42"/>
    <n v="0"/>
    <n v="0"/>
    <n v="0"/>
    <x v="0"/>
    <s v="Developed"/>
    <s v="Tinshed"/>
    <s v="Dhaka"/>
    <x v="0"/>
  </r>
  <r>
    <s v="Male"/>
    <n v="30"/>
    <n v="1"/>
    <n v="1"/>
    <n v="1"/>
    <x v="26"/>
    <s v="Undeveloped"/>
    <s v="Building"/>
    <s v="Dhaka"/>
    <x v="1"/>
  </r>
  <r>
    <s v="Male"/>
    <n v="33"/>
    <n v="0"/>
    <n v="0"/>
    <n v="0"/>
    <x v="23"/>
    <s v="Developed"/>
    <s v="Tinshed"/>
    <s v="Dhaka"/>
    <x v="0"/>
  </r>
  <r>
    <s v="Female"/>
    <n v="61"/>
    <n v="1"/>
    <n v="1"/>
    <n v="1"/>
    <x v="18"/>
    <s v="Undeveloped"/>
    <s v="Building"/>
    <s v="Dhaka"/>
    <x v="1"/>
  </r>
  <r>
    <s v="Female"/>
    <n v="47"/>
    <n v="1"/>
    <n v="1"/>
    <n v="1"/>
    <x v="6"/>
    <s v="Developed"/>
    <s v="Building"/>
    <s v="Dhaka"/>
    <x v="1"/>
  </r>
  <r>
    <s v="Female"/>
    <n v="52"/>
    <n v="0"/>
    <n v="0"/>
    <n v="1"/>
    <x v="29"/>
    <s v="Undeveloped"/>
    <s v="Other"/>
    <s v="Dhaka"/>
    <x v="0"/>
  </r>
  <r>
    <s v="Male"/>
    <n v="59"/>
    <n v="0"/>
    <n v="0"/>
    <n v="1"/>
    <x v="35"/>
    <s v="Developed"/>
    <s v="Building"/>
    <s v="Dhaka"/>
    <x v="0"/>
  </r>
  <r>
    <s v="Female"/>
    <n v="29"/>
    <n v="0"/>
    <n v="0"/>
    <n v="0"/>
    <x v="27"/>
    <s v="Undeveloped"/>
    <s v="Building"/>
    <s v="Dhaka"/>
    <x v="0"/>
  </r>
  <r>
    <s v="Female"/>
    <n v="50"/>
    <n v="1"/>
    <n v="1"/>
    <n v="1"/>
    <x v="21"/>
    <s v="Developed"/>
    <s v="Tinshed"/>
    <s v="Dhaka"/>
    <x v="1"/>
  </r>
  <r>
    <s v="Female"/>
    <n v="56"/>
    <n v="1"/>
    <n v="1"/>
    <n v="0"/>
    <x v="27"/>
    <s v="Undeveloped"/>
    <s v="Building"/>
    <s v="Dhaka"/>
    <x v="1"/>
  </r>
  <r>
    <s v="Male"/>
    <n v="55"/>
    <n v="1"/>
    <n v="1"/>
    <n v="0"/>
    <x v="24"/>
    <s v="Developed"/>
    <s v="Building"/>
    <s v="Dhaka"/>
    <x v="1"/>
  </r>
  <r>
    <s v="Female"/>
    <n v="44"/>
    <n v="1"/>
    <n v="1"/>
    <n v="1"/>
    <x v="16"/>
    <s v="Undeveloped"/>
    <s v="Building"/>
    <s v="Dhaka"/>
    <x v="1"/>
  </r>
  <r>
    <s v="Male"/>
    <n v="37"/>
    <n v="0"/>
    <n v="0"/>
    <n v="0"/>
    <x v="16"/>
    <s v="Developed"/>
    <s v="Tinshed"/>
    <s v="Dhaka"/>
    <x v="0"/>
  </r>
  <r>
    <s v="Female"/>
    <n v="42"/>
    <n v="0"/>
    <n v="0"/>
    <n v="1"/>
    <x v="27"/>
    <s v="Undeveloped"/>
    <s v="Tinshed"/>
    <s v="Dhaka"/>
    <x v="0"/>
  </r>
  <r>
    <s v="Male"/>
    <n v="8"/>
    <n v="0"/>
    <n v="0"/>
    <n v="1"/>
    <x v="6"/>
    <s v="Developed"/>
    <s v="Building"/>
    <s v="Dhaka"/>
    <x v="0"/>
  </r>
  <r>
    <s v="Male"/>
    <n v="40"/>
    <n v="0"/>
    <n v="0"/>
    <n v="0"/>
    <x v="17"/>
    <s v="Undeveloped"/>
    <s v="Tinshed"/>
    <s v="Dhaka"/>
    <x v="0"/>
  </r>
  <r>
    <s v="Male"/>
    <n v="56"/>
    <n v="0"/>
    <n v="0"/>
    <n v="1"/>
    <x v="5"/>
    <s v="Developed"/>
    <s v="Tinshed"/>
    <s v="Dhaka"/>
    <x v="0"/>
  </r>
  <r>
    <s v="Male"/>
    <n v="60"/>
    <n v="0"/>
    <n v="0"/>
    <n v="1"/>
    <x v="15"/>
    <s v="Undeveloped"/>
    <s v="Building"/>
    <s v="Dhaka"/>
    <x v="0"/>
  </r>
  <r>
    <s v="Male"/>
    <n v="26"/>
    <n v="0"/>
    <n v="0"/>
    <n v="0"/>
    <x v="3"/>
    <s v="Developed"/>
    <s v="Tinshed"/>
    <s v="Dhaka"/>
    <x v="0"/>
  </r>
  <r>
    <s v="Female"/>
    <n v="65"/>
    <n v="1"/>
    <n v="1"/>
    <n v="0"/>
    <x v="10"/>
    <s v="Undeveloped"/>
    <s v="Building"/>
    <s v="Dhaka"/>
    <x v="1"/>
  </r>
  <r>
    <s v="Female"/>
    <n v="33"/>
    <n v="1"/>
    <n v="1"/>
    <n v="1"/>
    <x v="30"/>
    <s v="Developed"/>
    <s v="Building"/>
    <s v="Dhaka"/>
    <x v="1"/>
  </r>
  <r>
    <s v="Female"/>
    <n v="20"/>
    <n v="0"/>
    <n v="0"/>
    <n v="0"/>
    <x v="34"/>
    <s v="Undeveloped"/>
    <s v="Other"/>
    <s v="Dhaka"/>
    <x v="0"/>
  </r>
  <r>
    <s v="Male"/>
    <n v="20"/>
    <n v="0"/>
    <n v="0"/>
    <n v="0"/>
    <x v="28"/>
    <s v="Developed"/>
    <s v="Other"/>
    <s v="Dhaka"/>
    <x v="0"/>
  </r>
  <r>
    <s v="Female"/>
    <n v="54"/>
    <n v="1"/>
    <n v="1"/>
    <n v="0"/>
    <x v="32"/>
    <s v="Undeveloped"/>
    <s v="Building"/>
    <s v="Dhaka"/>
    <x v="1"/>
  </r>
  <r>
    <s v="Male"/>
    <n v="22"/>
    <n v="1"/>
    <n v="1"/>
    <n v="1"/>
    <x v="27"/>
    <s v="Developed"/>
    <s v="Tinshed"/>
    <s v="Dhaka"/>
    <x v="1"/>
  </r>
  <r>
    <s v="Female"/>
    <n v="16"/>
    <n v="0"/>
    <n v="0"/>
    <n v="0"/>
    <x v="2"/>
    <s v="Undeveloped"/>
    <s v="Tinshed"/>
    <s v="Dhaka"/>
    <x v="0"/>
  </r>
  <r>
    <s v="Female"/>
    <n v="37"/>
    <n v="0"/>
    <n v="0"/>
    <n v="0"/>
    <x v="34"/>
    <s v="Developed"/>
    <s v="Building"/>
    <s v="Dhaka"/>
    <x v="0"/>
  </r>
  <r>
    <s v="Female"/>
    <n v="26"/>
    <n v="0"/>
    <n v="0"/>
    <n v="1"/>
    <x v="26"/>
    <s v="Undeveloped"/>
    <s v="Tinshed"/>
    <s v="Dhaka"/>
    <x v="0"/>
  </r>
  <r>
    <s v="Female"/>
    <n v="27"/>
    <n v="0"/>
    <n v="0"/>
    <n v="0"/>
    <x v="23"/>
    <s v="Developed"/>
    <s v="Tinshed"/>
    <s v="Dhaka"/>
    <x v="0"/>
  </r>
  <r>
    <s v="Female"/>
    <n v="10"/>
    <n v="0"/>
    <n v="0"/>
    <n v="0"/>
    <x v="32"/>
    <s v="Undeveloped"/>
    <s v="Building"/>
    <s v="Dhaka"/>
    <x v="0"/>
  </r>
  <r>
    <s v="Female"/>
    <n v="15"/>
    <n v="0"/>
    <n v="0"/>
    <n v="0"/>
    <x v="19"/>
    <s v="Developed"/>
    <s v="Building"/>
    <s v="Dhaka"/>
    <x v="0"/>
  </r>
  <r>
    <s v="Female"/>
    <n v="17"/>
    <n v="0"/>
    <n v="0"/>
    <n v="0"/>
    <x v="18"/>
    <s v="Undeveloped"/>
    <s v="Tinshed"/>
    <s v="Dhaka"/>
    <x v="0"/>
  </r>
  <r>
    <s v="Female"/>
    <n v="61"/>
    <n v="1"/>
    <n v="1"/>
    <n v="1"/>
    <x v="0"/>
    <s v="Developed"/>
    <s v="Building"/>
    <s v="Dhaka"/>
    <x v="1"/>
  </r>
  <r>
    <s v="Male"/>
    <n v="35"/>
    <n v="1"/>
    <n v="1"/>
    <n v="1"/>
    <x v="11"/>
    <s v="Undeveloped"/>
    <s v="Other"/>
    <s v="Dhaka"/>
    <x v="1"/>
  </r>
  <r>
    <s v="Female"/>
    <n v="55"/>
    <n v="1"/>
    <n v="1"/>
    <n v="1"/>
    <x v="34"/>
    <s v="Developed"/>
    <s v="Other"/>
    <s v="Dhaka"/>
    <x v="1"/>
  </r>
  <r>
    <s v="Female"/>
    <n v="16"/>
    <n v="1"/>
    <n v="1"/>
    <n v="1"/>
    <x v="25"/>
    <s v="Undeveloped"/>
    <s v="Other"/>
    <s v="Dhaka"/>
    <x v="1"/>
  </r>
  <r>
    <s v="Male"/>
    <n v="52"/>
    <n v="0"/>
    <n v="0"/>
    <n v="0"/>
    <x v="32"/>
    <s v="Developed"/>
    <s v="Building"/>
    <s v="Dhaka"/>
    <x v="0"/>
  </r>
  <r>
    <s v="Female"/>
    <n v="50"/>
    <n v="0"/>
    <n v="0"/>
    <n v="0"/>
    <x v="3"/>
    <s v="Undeveloped"/>
    <s v="Other"/>
    <s v="Dhaka"/>
    <x v="0"/>
  </r>
  <r>
    <s v="Female"/>
    <n v="23"/>
    <n v="1"/>
    <n v="1"/>
    <n v="1"/>
    <x v="8"/>
    <s v="Developed"/>
    <s v="Tinshed"/>
    <s v="Dhaka"/>
    <x v="1"/>
  </r>
  <r>
    <s v="Male"/>
    <n v="64"/>
    <n v="1"/>
    <n v="1"/>
    <n v="0"/>
    <x v="26"/>
    <s v="Undeveloped"/>
    <s v="Building"/>
    <s v="Dhaka"/>
    <x v="1"/>
  </r>
  <r>
    <s v="Female"/>
    <n v="50"/>
    <n v="0"/>
    <n v="0"/>
    <n v="0"/>
    <x v="34"/>
    <s v="Developed"/>
    <s v="Tinshed"/>
    <s v="Dhaka"/>
    <x v="0"/>
  </r>
  <r>
    <s v="Female"/>
    <n v="8"/>
    <n v="0"/>
    <n v="1"/>
    <n v="0"/>
    <x v="28"/>
    <s v="Developed"/>
    <s v="Other"/>
    <s v="Dhaka"/>
    <x v="1"/>
  </r>
  <r>
    <s v="Female"/>
    <n v="37"/>
    <n v="0"/>
    <n v="0"/>
    <n v="1"/>
    <x v="12"/>
    <s v="Developed"/>
    <s v="Tinshed"/>
    <s v="Dhaka"/>
    <x v="0"/>
  </r>
  <r>
    <s v="Female"/>
    <n v="63"/>
    <n v="0"/>
    <n v="0"/>
    <n v="0"/>
    <x v="34"/>
    <s v="Undeveloped"/>
    <s v="Other"/>
    <s v="Dhaka"/>
    <x v="0"/>
  </r>
  <r>
    <s v="Female"/>
    <n v="45"/>
    <n v="0"/>
    <n v="0"/>
    <n v="0"/>
    <x v="18"/>
    <s v="Developed"/>
    <s v="Other"/>
    <s v="Dhaka"/>
    <x v="0"/>
  </r>
  <r>
    <s v="Female"/>
    <n v="26"/>
    <n v="0"/>
    <n v="0"/>
    <n v="0"/>
    <x v="35"/>
    <s v="Undeveloped"/>
    <s v="Building"/>
    <s v="Dhaka"/>
    <x v="0"/>
  </r>
  <r>
    <s v="Female"/>
    <n v="24"/>
    <n v="0"/>
    <n v="0"/>
    <n v="0"/>
    <x v="27"/>
    <s v="Developed"/>
    <s v="Other"/>
    <s v="Dhaka"/>
    <x v="0"/>
  </r>
  <r>
    <s v="Male"/>
    <n v="31"/>
    <n v="1"/>
    <n v="1"/>
    <n v="0"/>
    <x v="29"/>
    <s v="Undeveloped"/>
    <s v="Tinshed"/>
    <s v="Dhaka"/>
    <x v="1"/>
  </r>
  <r>
    <s v="Female"/>
    <n v="54"/>
    <n v="0"/>
    <n v="0"/>
    <n v="1"/>
    <x v="7"/>
    <s v="Developed"/>
    <s v="Tinshed"/>
    <s v="Dhaka"/>
    <x v="0"/>
  </r>
  <r>
    <s v="Male"/>
    <n v="60"/>
    <n v="1"/>
    <n v="1"/>
    <n v="1"/>
    <x v="17"/>
    <s v="Undeveloped"/>
    <s v="Building"/>
    <s v="Dhaka"/>
    <x v="1"/>
  </r>
  <r>
    <s v="Male"/>
    <n v="61"/>
    <n v="1"/>
    <n v="1"/>
    <n v="1"/>
    <x v="4"/>
    <s v="Developed"/>
    <s v="Building"/>
    <s v="Dhaka"/>
    <x v="1"/>
  </r>
  <r>
    <s v="Male"/>
    <n v="58"/>
    <n v="0"/>
    <n v="1"/>
    <n v="0"/>
    <x v="22"/>
    <s v="Undeveloped"/>
    <s v="Tinshed"/>
    <s v="Dhaka"/>
    <x v="1"/>
  </r>
  <r>
    <s v="Female"/>
    <n v="39"/>
    <n v="0"/>
    <n v="0"/>
    <n v="1"/>
    <x v="24"/>
    <s v="Developed"/>
    <s v="Tinshed"/>
    <s v="Dhaka"/>
    <x v="0"/>
  </r>
  <r>
    <s v="Female"/>
    <n v="30"/>
    <n v="0"/>
    <n v="0"/>
    <n v="1"/>
    <x v="25"/>
    <s v="Undeveloped"/>
    <s v="Other"/>
    <s v="Dhaka"/>
    <x v="0"/>
  </r>
  <r>
    <s v="Male"/>
    <n v="57"/>
    <n v="1"/>
    <n v="1"/>
    <n v="0"/>
    <x v="20"/>
    <s v="Developed"/>
    <s v="Other"/>
    <s v="Dhaka"/>
    <x v="1"/>
  </r>
  <r>
    <s v="Female"/>
    <n v="40"/>
    <n v="1"/>
    <n v="1"/>
    <n v="0"/>
    <x v="2"/>
    <s v="Undeveloped"/>
    <s v="Tinshed"/>
    <s v="Dhaka"/>
    <x v="1"/>
  </r>
  <r>
    <s v="Male"/>
    <n v="39"/>
    <n v="0"/>
    <n v="0"/>
    <n v="0"/>
    <x v="33"/>
    <s v="Developed"/>
    <s v="Building"/>
    <s v="Dhaka"/>
    <x v="0"/>
  </r>
  <r>
    <s v="Female"/>
    <n v="9"/>
    <n v="1"/>
    <n v="1"/>
    <n v="1"/>
    <x v="33"/>
    <s v="Undeveloped"/>
    <s v="Other"/>
    <s v="Dhaka"/>
    <x v="1"/>
  </r>
  <r>
    <s v="Male"/>
    <n v="26"/>
    <n v="0"/>
    <n v="1"/>
    <n v="0"/>
    <x v="17"/>
    <s v="Developed"/>
    <s v="Other"/>
    <s v="Dhaka"/>
    <x v="1"/>
  </r>
  <r>
    <s v="Female"/>
    <n v="40"/>
    <n v="1"/>
    <n v="1"/>
    <n v="0"/>
    <x v="30"/>
    <s v="Undeveloped"/>
    <s v="Building"/>
    <s v="Dhaka"/>
    <x v="1"/>
  </r>
  <r>
    <s v="Male"/>
    <n v="49"/>
    <n v="1"/>
    <n v="1"/>
    <n v="1"/>
    <x v="6"/>
    <s v="Developed"/>
    <s v="Other"/>
    <s v="Dhaka"/>
    <x v="1"/>
  </r>
  <r>
    <s v="Female"/>
    <n v="29"/>
    <n v="0"/>
    <n v="0"/>
    <n v="1"/>
    <x v="15"/>
    <s v="Undeveloped"/>
    <s v="Tinshed"/>
    <s v="Dhaka"/>
    <x v="0"/>
  </r>
  <r>
    <s v="Female"/>
    <n v="38"/>
    <n v="1"/>
    <n v="1"/>
    <n v="0"/>
    <x v="27"/>
    <s v="Developed"/>
    <s v="Other"/>
    <s v="Dhaka"/>
    <x v="1"/>
  </r>
  <r>
    <s v="Male"/>
    <n v="52"/>
    <n v="0"/>
    <n v="0"/>
    <n v="1"/>
    <x v="1"/>
    <s v="Undeveloped"/>
    <s v="Building"/>
    <s v="Dhaka"/>
    <x v="0"/>
  </r>
  <r>
    <s v="Male"/>
    <n v="64"/>
    <n v="0"/>
    <n v="0"/>
    <n v="0"/>
    <x v="23"/>
    <s v="Developed"/>
    <s v="Building"/>
    <s v="Dhaka"/>
    <x v="0"/>
  </r>
  <r>
    <s v="Male"/>
    <n v="11"/>
    <n v="0"/>
    <n v="0"/>
    <n v="0"/>
    <x v="27"/>
    <s v="Undeveloped"/>
    <s v="Other"/>
    <s v="Dhaka"/>
    <x v="0"/>
  </r>
  <r>
    <s v="Male"/>
    <n v="39"/>
    <n v="1"/>
    <n v="1"/>
    <n v="0"/>
    <x v="15"/>
    <s v="Developed"/>
    <s v="Other"/>
    <s v="Dhaka"/>
    <x v="1"/>
  </r>
  <r>
    <s v="Male"/>
    <n v="39"/>
    <n v="1"/>
    <n v="1"/>
    <n v="0"/>
    <x v="18"/>
    <s v="Undeveloped"/>
    <s v="Tinshed"/>
    <s v="Dhaka"/>
    <x v="1"/>
  </r>
  <r>
    <s v="Female"/>
    <n v="25"/>
    <n v="1"/>
    <n v="1"/>
    <n v="0"/>
    <x v="34"/>
    <s v="Developed"/>
    <s v="Tinshed"/>
    <s v="Dhaka"/>
    <x v="1"/>
  </r>
  <r>
    <s v="Male"/>
    <n v="9"/>
    <n v="0"/>
    <n v="0"/>
    <n v="1"/>
    <x v="0"/>
    <s v="Undeveloped"/>
    <s v="Building"/>
    <s v="Dhaka"/>
    <x v="0"/>
  </r>
  <r>
    <s v="Female"/>
    <n v="61"/>
    <n v="1"/>
    <n v="1"/>
    <n v="0"/>
    <x v="4"/>
    <s v="Developed"/>
    <s v="Building"/>
    <s v="Dhaka"/>
    <x v="1"/>
  </r>
  <r>
    <s v="Female"/>
    <n v="18"/>
    <n v="0"/>
    <n v="0"/>
    <n v="1"/>
    <x v="33"/>
    <s v="Undeveloped"/>
    <s v="Building"/>
    <s v="Dhaka"/>
    <x v="0"/>
  </r>
  <r>
    <s v="Female"/>
    <n v="55"/>
    <n v="1"/>
    <n v="1"/>
    <n v="0"/>
    <x v="28"/>
    <s v="Developed"/>
    <s v="Tinshed"/>
    <s v="Dhaka"/>
    <x v="1"/>
  </r>
  <r>
    <s v="Male"/>
    <n v="11"/>
    <n v="0"/>
    <n v="0"/>
    <n v="0"/>
    <x v="27"/>
    <s v="Undeveloped"/>
    <s v="Building"/>
    <s v="Dhaka"/>
    <x v="0"/>
  </r>
  <r>
    <s v="Male"/>
    <n v="23"/>
    <n v="1"/>
    <n v="1"/>
    <n v="0"/>
    <x v="25"/>
    <s v="Developed"/>
    <s v="Building"/>
    <s v="Dhaka"/>
    <x v="1"/>
  </r>
  <r>
    <s v="Female"/>
    <n v="37"/>
    <n v="1"/>
    <n v="1"/>
    <n v="1"/>
    <x v="15"/>
    <s v="Undeveloped"/>
    <s v="Other"/>
    <s v="Dhaka"/>
    <x v="1"/>
  </r>
  <r>
    <s v="Female"/>
    <n v="33"/>
    <n v="0"/>
    <n v="0"/>
    <n v="1"/>
    <x v="23"/>
    <s v="Developed"/>
    <s v="Other"/>
    <s v="Dhaka"/>
    <x v="0"/>
  </r>
  <r>
    <s v="Male"/>
    <n v="18"/>
    <n v="1"/>
    <n v="1"/>
    <n v="0"/>
    <x v="8"/>
    <s v="Undeveloped"/>
    <s v="Building"/>
    <s v="Dhaka"/>
    <x v="1"/>
  </r>
  <r>
    <s v="Female"/>
    <n v="15"/>
    <n v="0"/>
    <n v="0"/>
    <n v="0"/>
    <x v="32"/>
    <s v="Developed"/>
    <s v="Other"/>
    <s v="Dhaka"/>
    <x v="0"/>
  </r>
  <r>
    <s v="Male"/>
    <n v="44"/>
    <n v="0"/>
    <n v="0"/>
    <n v="1"/>
    <x v="21"/>
    <s v="Undeveloped"/>
    <s v="Other"/>
    <s v="Dhaka"/>
    <x v="0"/>
  </r>
  <r>
    <s v="Female"/>
    <n v="16"/>
    <n v="1"/>
    <n v="1"/>
    <n v="0"/>
    <x v="6"/>
    <s v="Developed"/>
    <s v="Building"/>
    <s v="Dhaka"/>
    <x v="1"/>
  </r>
  <r>
    <s v="Male"/>
    <n v="41"/>
    <n v="1"/>
    <n v="1"/>
    <n v="0"/>
    <x v="2"/>
    <s v="Undeveloped"/>
    <s v="Other"/>
    <s v="Dhaka"/>
    <x v="1"/>
  </r>
  <r>
    <s v="Male"/>
    <n v="45"/>
    <n v="0"/>
    <n v="0"/>
    <n v="1"/>
    <x v="3"/>
    <s v="Developed"/>
    <s v="Building"/>
    <s v="Dhaka"/>
    <x v="0"/>
  </r>
  <r>
    <s v="Female"/>
    <n v="19"/>
    <n v="1"/>
    <n v="1"/>
    <n v="1"/>
    <x v="2"/>
    <s v="Undeveloped"/>
    <s v="Building"/>
    <s v="Dhaka"/>
    <x v="1"/>
  </r>
  <r>
    <s v="Female"/>
    <n v="28"/>
    <n v="0"/>
    <n v="0"/>
    <n v="1"/>
    <x v="16"/>
    <s v="Developed"/>
    <s v="Building"/>
    <s v="Dhaka"/>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45"/>
    <n v="0"/>
    <n v="0"/>
    <n v="0"/>
    <x v="0"/>
    <x v="0"/>
    <x v="0"/>
    <s v="Dhaka"/>
    <x v="0"/>
    <x v="0"/>
    <x v="0"/>
  </r>
  <r>
    <x v="1"/>
    <n v="17"/>
    <n v="0"/>
    <n v="0"/>
    <n v="1"/>
    <x v="1"/>
    <x v="1"/>
    <x v="0"/>
    <s v="Dhaka"/>
    <x v="0"/>
    <x v="0"/>
    <x v="1"/>
  </r>
  <r>
    <x v="0"/>
    <n v="29"/>
    <n v="0"/>
    <n v="0"/>
    <n v="0"/>
    <x v="2"/>
    <x v="0"/>
    <x v="1"/>
    <s v="Dhaka"/>
    <x v="0"/>
    <x v="0"/>
    <x v="2"/>
  </r>
  <r>
    <x v="0"/>
    <n v="63"/>
    <n v="1"/>
    <n v="1"/>
    <n v="0"/>
    <x v="3"/>
    <x v="1"/>
    <x v="1"/>
    <s v="Dhaka"/>
    <x v="1"/>
    <x v="1"/>
    <x v="3"/>
  </r>
  <r>
    <x v="1"/>
    <n v="22"/>
    <n v="0"/>
    <n v="0"/>
    <n v="0"/>
    <x v="4"/>
    <x v="0"/>
    <x v="0"/>
    <s v="Dhaka"/>
    <x v="0"/>
    <x v="0"/>
    <x v="2"/>
  </r>
  <r>
    <x v="0"/>
    <n v="36"/>
    <n v="0"/>
    <n v="0"/>
    <n v="1"/>
    <x v="5"/>
    <x v="1"/>
    <x v="1"/>
    <s v="Dhaka"/>
    <x v="0"/>
    <x v="0"/>
    <x v="0"/>
  </r>
  <r>
    <x v="0"/>
    <n v="15"/>
    <n v="0"/>
    <n v="0"/>
    <n v="1"/>
    <x v="6"/>
    <x v="0"/>
    <x v="0"/>
    <s v="Dhaka"/>
    <x v="0"/>
    <x v="0"/>
    <x v="1"/>
  </r>
  <r>
    <x v="1"/>
    <n v="26"/>
    <n v="0"/>
    <n v="0"/>
    <n v="0"/>
    <x v="6"/>
    <x v="1"/>
    <x v="1"/>
    <s v="Dhaka"/>
    <x v="0"/>
    <x v="0"/>
    <x v="2"/>
  </r>
  <r>
    <x v="0"/>
    <n v="31"/>
    <n v="0"/>
    <n v="0"/>
    <n v="1"/>
    <x v="5"/>
    <x v="0"/>
    <x v="2"/>
    <s v="Dhaka"/>
    <x v="0"/>
    <x v="0"/>
    <x v="2"/>
  </r>
  <r>
    <x v="0"/>
    <n v="10"/>
    <n v="0"/>
    <n v="0"/>
    <n v="1"/>
    <x v="7"/>
    <x v="1"/>
    <x v="2"/>
    <s v="Dhaka"/>
    <x v="0"/>
    <x v="0"/>
    <x v="4"/>
  </r>
  <r>
    <x v="0"/>
    <n v="31"/>
    <n v="1"/>
    <n v="1"/>
    <n v="0"/>
    <x v="8"/>
    <x v="0"/>
    <x v="0"/>
    <s v="Dhaka"/>
    <x v="1"/>
    <x v="1"/>
    <x v="2"/>
  </r>
  <r>
    <x v="1"/>
    <n v="10"/>
    <n v="0"/>
    <n v="0"/>
    <n v="0"/>
    <x v="5"/>
    <x v="1"/>
    <x v="2"/>
    <s v="Dhaka"/>
    <x v="0"/>
    <x v="0"/>
    <x v="4"/>
  </r>
  <r>
    <x v="0"/>
    <n v="13"/>
    <n v="1"/>
    <n v="1"/>
    <n v="0"/>
    <x v="9"/>
    <x v="0"/>
    <x v="0"/>
    <s v="Dhaka"/>
    <x v="1"/>
    <x v="1"/>
    <x v="1"/>
  </r>
  <r>
    <x v="0"/>
    <n v="43"/>
    <n v="1"/>
    <n v="1"/>
    <n v="0"/>
    <x v="10"/>
    <x v="1"/>
    <x v="0"/>
    <s v="Dhaka"/>
    <x v="1"/>
    <x v="1"/>
    <x v="0"/>
  </r>
  <r>
    <x v="1"/>
    <n v="52"/>
    <n v="0"/>
    <n v="0"/>
    <n v="0"/>
    <x v="11"/>
    <x v="0"/>
    <x v="1"/>
    <s v="Dhaka"/>
    <x v="0"/>
    <x v="0"/>
    <x v="0"/>
  </r>
  <r>
    <x v="0"/>
    <n v="12"/>
    <n v="1"/>
    <n v="1"/>
    <n v="1"/>
    <x v="12"/>
    <x v="1"/>
    <x v="2"/>
    <s v="Dhaka"/>
    <x v="1"/>
    <x v="1"/>
    <x v="4"/>
  </r>
  <r>
    <x v="1"/>
    <n v="18"/>
    <n v="0"/>
    <n v="0"/>
    <n v="1"/>
    <x v="13"/>
    <x v="0"/>
    <x v="2"/>
    <s v="Dhaka"/>
    <x v="0"/>
    <x v="0"/>
    <x v="1"/>
  </r>
  <r>
    <x v="1"/>
    <n v="56"/>
    <n v="0"/>
    <n v="0"/>
    <n v="1"/>
    <x v="14"/>
    <x v="1"/>
    <x v="0"/>
    <s v="Dhaka"/>
    <x v="0"/>
    <x v="0"/>
    <x v="0"/>
  </r>
  <r>
    <x v="1"/>
    <n v="9"/>
    <n v="1"/>
    <n v="1"/>
    <n v="1"/>
    <x v="0"/>
    <x v="0"/>
    <x v="2"/>
    <s v="Dhaka"/>
    <x v="1"/>
    <x v="1"/>
    <x v="4"/>
  </r>
  <r>
    <x v="1"/>
    <n v="27"/>
    <n v="1"/>
    <n v="1"/>
    <n v="0"/>
    <x v="0"/>
    <x v="1"/>
    <x v="2"/>
    <s v="Dhaka"/>
    <x v="1"/>
    <x v="1"/>
    <x v="2"/>
  </r>
  <r>
    <x v="0"/>
    <n v="31"/>
    <n v="0"/>
    <n v="1"/>
    <n v="0"/>
    <x v="15"/>
    <x v="0"/>
    <x v="2"/>
    <s v="Dhaka"/>
    <x v="1"/>
    <x v="1"/>
    <x v="2"/>
  </r>
  <r>
    <x v="0"/>
    <n v="23"/>
    <n v="0"/>
    <n v="0"/>
    <n v="0"/>
    <x v="16"/>
    <x v="1"/>
    <x v="1"/>
    <s v="Dhaka"/>
    <x v="0"/>
    <x v="0"/>
    <x v="2"/>
  </r>
  <r>
    <x v="0"/>
    <n v="37"/>
    <n v="0"/>
    <n v="0"/>
    <n v="1"/>
    <x v="17"/>
    <x v="0"/>
    <x v="2"/>
    <s v="Dhaka"/>
    <x v="0"/>
    <x v="0"/>
    <x v="0"/>
  </r>
  <r>
    <x v="1"/>
    <n v="44"/>
    <n v="0"/>
    <n v="0"/>
    <n v="1"/>
    <x v="18"/>
    <x v="1"/>
    <x v="1"/>
    <s v="Dhaka"/>
    <x v="0"/>
    <x v="0"/>
    <x v="0"/>
  </r>
  <r>
    <x v="0"/>
    <n v="17"/>
    <n v="1"/>
    <n v="1"/>
    <n v="0"/>
    <x v="9"/>
    <x v="0"/>
    <x v="0"/>
    <s v="Dhaka"/>
    <x v="1"/>
    <x v="1"/>
    <x v="1"/>
  </r>
  <r>
    <x v="0"/>
    <n v="64"/>
    <n v="1"/>
    <n v="1"/>
    <n v="1"/>
    <x v="15"/>
    <x v="1"/>
    <x v="1"/>
    <s v="Dhaka"/>
    <x v="1"/>
    <x v="1"/>
    <x v="3"/>
  </r>
  <r>
    <x v="0"/>
    <n v="65"/>
    <n v="0"/>
    <n v="0"/>
    <n v="0"/>
    <x v="4"/>
    <x v="0"/>
    <x v="2"/>
    <s v="Dhaka"/>
    <x v="0"/>
    <x v="0"/>
    <x v="3"/>
  </r>
  <r>
    <x v="0"/>
    <n v="60"/>
    <n v="0"/>
    <n v="0"/>
    <n v="0"/>
    <x v="9"/>
    <x v="1"/>
    <x v="1"/>
    <s v="Dhaka"/>
    <x v="0"/>
    <x v="0"/>
    <x v="0"/>
  </r>
  <r>
    <x v="0"/>
    <n v="44"/>
    <n v="1"/>
    <n v="1"/>
    <n v="1"/>
    <x v="8"/>
    <x v="0"/>
    <x v="2"/>
    <s v="Dhaka"/>
    <x v="1"/>
    <x v="1"/>
    <x v="0"/>
  </r>
  <r>
    <x v="0"/>
    <n v="13"/>
    <n v="0"/>
    <n v="1"/>
    <n v="0"/>
    <x v="10"/>
    <x v="1"/>
    <x v="0"/>
    <s v="Dhaka"/>
    <x v="1"/>
    <x v="1"/>
    <x v="1"/>
  </r>
  <r>
    <x v="0"/>
    <n v="35"/>
    <n v="0"/>
    <n v="0"/>
    <n v="0"/>
    <x v="19"/>
    <x v="0"/>
    <x v="0"/>
    <s v="Dhaka"/>
    <x v="0"/>
    <x v="0"/>
    <x v="2"/>
  </r>
  <r>
    <x v="1"/>
    <n v="13"/>
    <n v="1"/>
    <n v="1"/>
    <n v="1"/>
    <x v="15"/>
    <x v="1"/>
    <x v="2"/>
    <s v="Dhaka"/>
    <x v="1"/>
    <x v="1"/>
    <x v="1"/>
  </r>
  <r>
    <x v="0"/>
    <n v="39"/>
    <n v="0"/>
    <n v="0"/>
    <n v="1"/>
    <x v="20"/>
    <x v="0"/>
    <x v="0"/>
    <s v="Dhaka"/>
    <x v="0"/>
    <x v="0"/>
    <x v="0"/>
  </r>
  <r>
    <x v="0"/>
    <n v="27"/>
    <n v="0"/>
    <n v="0"/>
    <n v="1"/>
    <x v="21"/>
    <x v="1"/>
    <x v="1"/>
    <s v="Dhaka"/>
    <x v="0"/>
    <x v="0"/>
    <x v="2"/>
  </r>
  <r>
    <x v="1"/>
    <n v="11"/>
    <n v="1"/>
    <n v="1"/>
    <n v="1"/>
    <x v="22"/>
    <x v="0"/>
    <x v="2"/>
    <s v="Dhaka"/>
    <x v="1"/>
    <x v="1"/>
    <x v="4"/>
  </r>
  <r>
    <x v="0"/>
    <n v="46"/>
    <n v="1"/>
    <n v="1"/>
    <n v="1"/>
    <x v="19"/>
    <x v="1"/>
    <x v="1"/>
    <s v="Dhaka"/>
    <x v="1"/>
    <x v="1"/>
    <x v="0"/>
  </r>
  <r>
    <x v="1"/>
    <n v="10"/>
    <n v="1"/>
    <n v="1"/>
    <n v="0"/>
    <x v="23"/>
    <x v="0"/>
    <x v="2"/>
    <s v="Dhaka"/>
    <x v="1"/>
    <x v="1"/>
    <x v="4"/>
  </r>
  <r>
    <x v="0"/>
    <n v="13"/>
    <n v="0"/>
    <n v="0"/>
    <n v="1"/>
    <x v="24"/>
    <x v="1"/>
    <x v="0"/>
    <s v="Dhaka"/>
    <x v="0"/>
    <x v="0"/>
    <x v="1"/>
  </r>
  <r>
    <x v="1"/>
    <n v="50"/>
    <n v="0"/>
    <n v="1"/>
    <n v="0"/>
    <x v="22"/>
    <x v="0"/>
    <x v="1"/>
    <s v="Dhaka"/>
    <x v="1"/>
    <x v="1"/>
    <x v="0"/>
  </r>
  <r>
    <x v="1"/>
    <n v="34"/>
    <n v="1"/>
    <n v="1"/>
    <n v="0"/>
    <x v="0"/>
    <x v="1"/>
    <x v="1"/>
    <s v="Dhaka"/>
    <x v="1"/>
    <x v="1"/>
    <x v="2"/>
  </r>
  <r>
    <x v="0"/>
    <n v="54"/>
    <n v="0"/>
    <n v="0"/>
    <n v="1"/>
    <x v="13"/>
    <x v="0"/>
    <x v="2"/>
    <s v="Dhaka"/>
    <x v="0"/>
    <x v="0"/>
    <x v="0"/>
  </r>
  <r>
    <x v="0"/>
    <n v="16"/>
    <n v="0"/>
    <n v="0"/>
    <n v="1"/>
    <x v="19"/>
    <x v="1"/>
    <x v="1"/>
    <s v="Dhaka"/>
    <x v="0"/>
    <x v="0"/>
    <x v="1"/>
  </r>
  <r>
    <x v="1"/>
    <n v="51"/>
    <n v="1"/>
    <n v="1"/>
    <n v="0"/>
    <x v="21"/>
    <x v="0"/>
    <x v="2"/>
    <s v="Dhaka"/>
    <x v="1"/>
    <x v="1"/>
    <x v="0"/>
  </r>
  <r>
    <x v="0"/>
    <n v="9"/>
    <n v="1"/>
    <n v="1"/>
    <n v="1"/>
    <x v="25"/>
    <x v="1"/>
    <x v="2"/>
    <s v="Dhaka"/>
    <x v="1"/>
    <x v="1"/>
    <x v="4"/>
  </r>
  <r>
    <x v="0"/>
    <n v="37"/>
    <n v="0"/>
    <n v="0"/>
    <n v="0"/>
    <x v="26"/>
    <x v="0"/>
    <x v="0"/>
    <s v="Dhaka"/>
    <x v="0"/>
    <x v="0"/>
    <x v="0"/>
  </r>
  <r>
    <x v="0"/>
    <n v="13"/>
    <n v="0"/>
    <n v="0"/>
    <n v="0"/>
    <x v="27"/>
    <x v="1"/>
    <x v="2"/>
    <s v="Dhaka"/>
    <x v="0"/>
    <x v="0"/>
    <x v="1"/>
  </r>
  <r>
    <x v="1"/>
    <n v="62"/>
    <n v="0"/>
    <n v="1"/>
    <n v="0"/>
    <x v="22"/>
    <x v="0"/>
    <x v="2"/>
    <s v="Dhaka"/>
    <x v="1"/>
    <x v="1"/>
    <x v="3"/>
  </r>
  <r>
    <x v="1"/>
    <n v="17"/>
    <n v="0"/>
    <n v="0"/>
    <n v="1"/>
    <x v="19"/>
    <x v="1"/>
    <x v="0"/>
    <s v="Dhaka"/>
    <x v="0"/>
    <x v="0"/>
    <x v="1"/>
  </r>
  <r>
    <x v="0"/>
    <n v="35"/>
    <n v="0"/>
    <n v="0"/>
    <n v="1"/>
    <x v="14"/>
    <x v="0"/>
    <x v="2"/>
    <s v="Dhaka"/>
    <x v="0"/>
    <x v="0"/>
    <x v="2"/>
  </r>
  <r>
    <x v="1"/>
    <n v="9"/>
    <n v="1"/>
    <n v="1"/>
    <n v="0"/>
    <x v="28"/>
    <x v="1"/>
    <x v="2"/>
    <s v="Dhaka"/>
    <x v="1"/>
    <x v="1"/>
    <x v="4"/>
  </r>
  <r>
    <x v="1"/>
    <n v="14"/>
    <n v="1"/>
    <n v="1"/>
    <n v="0"/>
    <x v="15"/>
    <x v="0"/>
    <x v="2"/>
    <s v="Dhaka"/>
    <x v="1"/>
    <x v="1"/>
    <x v="1"/>
  </r>
  <r>
    <x v="1"/>
    <n v="37"/>
    <n v="0"/>
    <n v="0"/>
    <n v="0"/>
    <x v="13"/>
    <x v="1"/>
    <x v="2"/>
    <s v="Dhaka"/>
    <x v="0"/>
    <x v="0"/>
    <x v="0"/>
  </r>
  <r>
    <x v="1"/>
    <n v="13"/>
    <n v="0"/>
    <n v="0"/>
    <n v="0"/>
    <x v="29"/>
    <x v="0"/>
    <x v="1"/>
    <s v="Dhaka"/>
    <x v="0"/>
    <x v="0"/>
    <x v="1"/>
  </r>
  <r>
    <x v="1"/>
    <n v="57"/>
    <n v="0"/>
    <n v="0"/>
    <n v="0"/>
    <x v="12"/>
    <x v="1"/>
    <x v="0"/>
    <s v="Dhaka"/>
    <x v="0"/>
    <x v="0"/>
    <x v="0"/>
  </r>
  <r>
    <x v="0"/>
    <n v="41"/>
    <n v="0"/>
    <n v="0"/>
    <n v="0"/>
    <x v="3"/>
    <x v="0"/>
    <x v="0"/>
    <s v="Dhaka"/>
    <x v="0"/>
    <x v="0"/>
    <x v="0"/>
  </r>
  <r>
    <x v="1"/>
    <n v="24"/>
    <n v="1"/>
    <n v="1"/>
    <n v="1"/>
    <x v="14"/>
    <x v="1"/>
    <x v="0"/>
    <s v="Dhaka"/>
    <x v="1"/>
    <x v="1"/>
    <x v="2"/>
  </r>
  <r>
    <x v="1"/>
    <n v="28"/>
    <n v="0"/>
    <n v="0"/>
    <n v="0"/>
    <x v="4"/>
    <x v="0"/>
    <x v="1"/>
    <s v="Dhaka"/>
    <x v="0"/>
    <x v="0"/>
    <x v="2"/>
  </r>
  <r>
    <x v="1"/>
    <n v="25"/>
    <n v="0"/>
    <n v="0"/>
    <n v="1"/>
    <x v="9"/>
    <x v="1"/>
    <x v="1"/>
    <s v="Dhaka"/>
    <x v="0"/>
    <x v="0"/>
    <x v="2"/>
  </r>
  <r>
    <x v="1"/>
    <n v="44"/>
    <n v="0"/>
    <n v="0"/>
    <n v="1"/>
    <x v="24"/>
    <x v="0"/>
    <x v="2"/>
    <s v="Dhaka"/>
    <x v="0"/>
    <x v="0"/>
    <x v="0"/>
  </r>
  <r>
    <x v="1"/>
    <n v="10"/>
    <n v="1"/>
    <n v="1"/>
    <n v="1"/>
    <x v="21"/>
    <x v="1"/>
    <x v="2"/>
    <s v="Dhaka"/>
    <x v="1"/>
    <x v="1"/>
    <x v="4"/>
  </r>
  <r>
    <x v="0"/>
    <n v="13"/>
    <n v="1"/>
    <n v="1"/>
    <n v="1"/>
    <x v="5"/>
    <x v="0"/>
    <x v="1"/>
    <s v="Dhaka"/>
    <x v="1"/>
    <x v="1"/>
    <x v="1"/>
  </r>
  <r>
    <x v="0"/>
    <n v="65"/>
    <n v="1"/>
    <n v="1"/>
    <n v="0"/>
    <x v="30"/>
    <x v="1"/>
    <x v="0"/>
    <s v="Dhaka"/>
    <x v="1"/>
    <x v="1"/>
    <x v="3"/>
  </r>
  <r>
    <x v="1"/>
    <n v="53"/>
    <n v="0"/>
    <n v="0"/>
    <n v="0"/>
    <x v="20"/>
    <x v="0"/>
    <x v="1"/>
    <s v="Dhaka"/>
    <x v="0"/>
    <x v="0"/>
    <x v="0"/>
  </r>
  <r>
    <x v="1"/>
    <n v="54"/>
    <n v="0"/>
    <n v="0"/>
    <n v="1"/>
    <x v="26"/>
    <x v="1"/>
    <x v="1"/>
    <s v="Dhaka"/>
    <x v="0"/>
    <x v="0"/>
    <x v="0"/>
  </r>
  <r>
    <x v="0"/>
    <n v="59"/>
    <n v="0"/>
    <n v="0"/>
    <n v="1"/>
    <x v="31"/>
    <x v="0"/>
    <x v="0"/>
    <s v="Dhaka"/>
    <x v="0"/>
    <x v="0"/>
    <x v="0"/>
  </r>
  <r>
    <x v="1"/>
    <n v="47"/>
    <n v="1"/>
    <n v="1"/>
    <n v="1"/>
    <x v="32"/>
    <x v="1"/>
    <x v="0"/>
    <s v="Dhaka"/>
    <x v="1"/>
    <x v="1"/>
    <x v="0"/>
  </r>
  <r>
    <x v="0"/>
    <n v="28"/>
    <n v="1"/>
    <n v="1"/>
    <n v="1"/>
    <x v="21"/>
    <x v="0"/>
    <x v="1"/>
    <s v="Dhaka"/>
    <x v="1"/>
    <x v="1"/>
    <x v="2"/>
  </r>
  <r>
    <x v="0"/>
    <n v="38"/>
    <n v="1"/>
    <n v="1"/>
    <n v="0"/>
    <x v="32"/>
    <x v="1"/>
    <x v="2"/>
    <s v="Dhaka"/>
    <x v="1"/>
    <x v="1"/>
    <x v="0"/>
  </r>
  <r>
    <x v="0"/>
    <n v="11"/>
    <n v="1"/>
    <n v="1"/>
    <n v="0"/>
    <x v="8"/>
    <x v="0"/>
    <x v="2"/>
    <s v="Dhaka"/>
    <x v="1"/>
    <x v="1"/>
    <x v="4"/>
  </r>
  <r>
    <x v="0"/>
    <n v="65"/>
    <n v="0"/>
    <n v="0"/>
    <n v="0"/>
    <x v="11"/>
    <x v="1"/>
    <x v="2"/>
    <s v="Dhaka"/>
    <x v="0"/>
    <x v="0"/>
    <x v="3"/>
  </r>
  <r>
    <x v="1"/>
    <n v="17"/>
    <n v="1"/>
    <n v="1"/>
    <n v="0"/>
    <x v="3"/>
    <x v="0"/>
    <x v="1"/>
    <s v="Dhaka"/>
    <x v="1"/>
    <x v="1"/>
    <x v="1"/>
  </r>
  <r>
    <x v="1"/>
    <n v="64"/>
    <n v="0"/>
    <n v="0"/>
    <n v="0"/>
    <x v="33"/>
    <x v="1"/>
    <x v="2"/>
    <s v="Dhaka"/>
    <x v="0"/>
    <x v="0"/>
    <x v="3"/>
  </r>
  <r>
    <x v="0"/>
    <n v="45"/>
    <n v="1"/>
    <n v="1"/>
    <n v="1"/>
    <x v="17"/>
    <x v="0"/>
    <x v="2"/>
    <s v="Dhaka"/>
    <x v="1"/>
    <x v="1"/>
    <x v="0"/>
  </r>
  <r>
    <x v="0"/>
    <n v="10"/>
    <n v="1"/>
    <n v="1"/>
    <n v="0"/>
    <x v="31"/>
    <x v="1"/>
    <x v="0"/>
    <s v="Dhaka"/>
    <x v="1"/>
    <x v="1"/>
    <x v="4"/>
  </r>
  <r>
    <x v="1"/>
    <n v="49"/>
    <n v="1"/>
    <n v="1"/>
    <n v="1"/>
    <x v="26"/>
    <x v="0"/>
    <x v="1"/>
    <s v="Dhaka"/>
    <x v="1"/>
    <x v="1"/>
    <x v="0"/>
  </r>
  <r>
    <x v="1"/>
    <n v="61"/>
    <n v="0"/>
    <n v="0"/>
    <n v="1"/>
    <x v="19"/>
    <x v="1"/>
    <x v="2"/>
    <s v="Dhaka"/>
    <x v="0"/>
    <x v="0"/>
    <x v="3"/>
  </r>
  <r>
    <x v="0"/>
    <n v="61"/>
    <n v="1"/>
    <n v="1"/>
    <n v="1"/>
    <x v="21"/>
    <x v="0"/>
    <x v="1"/>
    <s v="Dhaka"/>
    <x v="1"/>
    <x v="1"/>
    <x v="3"/>
  </r>
  <r>
    <x v="1"/>
    <n v="21"/>
    <n v="0"/>
    <n v="0"/>
    <n v="1"/>
    <x v="5"/>
    <x v="1"/>
    <x v="0"/>
    <s v="Dhaka"/>
    <x v="0"/>
    <x v="0"/>
    <x v="2"/>
  </r>
  <r>
    <x v="1"/>
    <n v="64"/>
    <n v="1"/>
    <n v="1"/>
    <n v="1"/>
    <x v="15"/>
    <x v="0"/>
    <x v="1"/>
    <s v="Dhaka"/>
    <x v="1"/>
    <x v="1"/>
    <x v="3"/>
  </r>
  <r>
    <x v="0"/>
    <n v="24"/>
    <n v="0"/>
    <n v="0"/>
    <n v="0"/>
    <x v="14"/>
    <x v="1"/>
    <x v="2"/>
    <s v="Dhaka"/>
    <x v="0"/>
    <x v="0"/>
    <x v="2"/>
  </r>
  <r>
    <x v="0"/>
    <n v="62"/>
    <n v="1"/>
    <n v="1"/>
    <n v="0"/>
    <x v="14"/>
    <x v="0"/>
    <x v="0"/>
    <s v="Dhaka"/>
    <x v="1"/>
    <x v="1"/>
    <x v="3"/>
  </r>
  <r>
    <x v="1"/>
    <n v="59"/>
    <n v="1"/>
    <n v="1"/>
    <n v="1"/>
    <x v="11"/>
    <x v="1"/>
    <x v="1"/>
    <s v="Dhaka"/>
    <x v="1"/>
    <x v="1"/>
    <x v="0"/>
  </r>
  <r>
    <x v="1"/>
    <n v="44"/>
    <n v="0"/>
    <n v="0"/>
    <n v="0"/>
    <x v="6"/>
    <x v="0"/>
    <x v="2"/>
    <s v="Dhaka"/>
    <x v="0"/>
    <x v="0"/>
    <x v="0"/>
  </r>
  <r>
    <x v="0"/>
    <n v="12"/>
    <n v="1"/>
    <n v="1"/>
    <n v="0"/>
    <x v="30"/>
    <x v="1"/>
    <x v="1"/>
    <s v="Dhaka"/>
    <x v="1"/>
    <x v="1"/>
    <x v="4"/>
  </r>
  <r>
    <x v="0"/>
    <n v="29"/>
    <n v="1"/>
    <n v="1"/>
    <n v="1"/>
    <x v="13"/>
    <x v="0"/>
    <x v="2"/>
    <s v="Dhaka"/>
    <x v="1"/>
    <x v="1"/>
    <x v="2"/>
  </r>
  <r>
    <x v="1"/>
    <n v="38"/>
    <n v="0"/>
    <n v="0"/>
    <n v="0"/>
    <x v="18"/>
    <x v="1"/>
    <x v="0"/>
    <s v="Dhaka"/>
    <x v="0"/>
    <x v="0"/>
    <x v="0"/>
  </r>
  <r>
    <x v="0"/>
    <n v="45"/>
    <n v="1"/>
    <n v="1"/>
    <n v="0"/>
    <x v="27"/>
    <x v="0"/>
    <x v="0"/>
    <s v="Dhaka"/>
    <x v="1"/>
    <x v="1"/>
    <x v="0"/>
  </r>
  <r>
    <x v="0"/>
    <n v="54"/>
    <n v="1"/>
    <n v="1"/>
    <n v="1"/>
    <x v="26"/>
    <x v="1"/>
    <x v="0"/>
    <s v="Dhaka"/>
    <x v="1"/>
    <x v="1"/>
    <x v="0"/>
  </r>
  <r>
    <x v="0"/>
    <n v="50"/>
    <n v="1"/>
    <n v="1"/>
    <n v="1"/>
    <x v="29"/>
    <x v="0"/>
    <x v="2"/>
    <s v="Dhaka"/>
    <x v="1"/>
    <x v="1"/>
    <x v="0"/>
  </r>
  <r>
    <x v="0"/>
    <n v="39"/>
    <n v="1"/>
    <n v="1"/>
    <n v="0"/>
    <x v="22"/>
    <x v="1"/>
    <x v="0"/>
    <s v="Dhaka"/>
    <x v="1"/>
    <x v="1"/>
    <x v="0"/>
  </r>
  <r>
    <x v="0"/>
    <n v="53"/>
    <n v="0"/>
    <n v="0"/>
    <n v="0"/>
    <x v="29"/>
    <x v="0"/>
    <x v="1"/>
    <s v="Dhaka"/>
    <x v="0"/>
    <x v="0"/>
    <x v="0"/>
  </r>
  <r>
    <x v="1"/>
    <n v="64"/>
    <n v="1"/>
    <n v="1"/>
    <n v="1"/>
    <x v="0"/>
    <x v="1"/>
    <x v="0"/>
    <s v="Dhaka"/>
    <x v="1"/>
    <x v="1"/>
    <x v="3"/>
  </r>
  <r>
    <x v="0"/>
    <n v="60"/>
    <n v="1"/>
    <n v="1"/>
    <n v="1"/>
    <x v="33"/>
    <x v="0"/>
    <x v="1"/>
    <s v="Dhaka"/>
    <x v="1"/>
    <x v="1"/>
    <x v="0"/>
  </r>
  <r>
    <x v="0"/>
    <n v="45"/>
    <n v="0"/>
    <n v="0"/>
    <n v="1"/>
    <x v="23"/>
    <x v="1"/>
    <x v="1"/>
    <s v="Dhaka"/>
    <x v="0"/>
    <x v="0"/>
    <x v="0"/>
  </r>
  <r>
    <x v="1"/>
    <n v="32"/>
    <n v="0"/>
    <n v="0"/>
    <n v="0"/>
    <x v="27"/>
    <x v="0"/>
    <x v="1"/>
    <s v="Dhaka"/>
    <x v="0"/>
    <x v="0"/>
    <x v="2"/>
  </r>
  <r>
    <x v="0"/>
    <n v="26"/>
    <n v="0"/>
    <n v="0"/>
    <n v="0"/>
    <x v="22"/>
    <x v="1"/>
    <x v="0"/>
    <s v="Dhaka"/>
    <x v="0"/>
    <x v="0"/>
    <x v="2"/>
  </r>
  <r>
    <x v="0"/>
    <n v="58"/>
    <n v="1"/>
    <n v="1"/>
    <n v="1"/>
    <x v="34"/>
    <x v="0"/>
    <x v="0"/>
    <s v="Dhaka"/>
    <x v="1"/>
    <x v="1"/>
    <x v="0"/>
  </r>
  <r>
    <x v="0"/>
    <n v="23"/>
    <n v="1"/>
    <n v="1"/>
    <n v="0"/>
    <x v="20"/>
    <x v="1"/>
    <x v="2"/>
    <s v="Dhaka"/>
    <x v="1"/>
    <x v="1"/>
    <x v="2"/>
  </r>
  <r>
    <x v="1"/>
    <n v="30"/>
    <n v="0"/>
    <n v="0"/>
    <n v="1"/>
    <x v="11"/>
    <x v="0"/>
    <x v="2"/>
    <s v="Dhaka"/>
    <x v="0"/>
    <x v="0"/>
    <x v="2"/>
  </r>
  <r>
    <x v="0"/>
    <n v="62"/>
    <n v="0"/>
    <n v="0"/>
    <n v="0"/>
    <x v="34"/>
    <x v="1"/>
    <x v="2"/>
    <s v="Dhaka"/>
    <x v="0"/>
    <x v="0"/>
    <x v="3"/>
  </r>
  <r>
    <x v="0"/>
    <n v="34"/>
    <n v="0"/>
    <n v="0"/>
    <n v="0"/>
    <x v="24"/>
    <x v="0"/>
    <x v="1"/>
    <s v="Dhaka"/>
    <x v="0"/>
    <x v="0"/>
    <x v="2"/>
  </r>
  <r>
    <x v="0"/>
    <n v="58"/>
    <n v="0"/>
    <n v="0"/>
    <n v="0"/>
    <x v="5"/>
    <x v="1"/>
    <x v="1"/>
    <s v="Dhaka"/>
    <x v="0"/>
    <x v="0"/>
    <x v="0"/>
  </r>
  <r>
    <x v="0"/>
    <n v="51"/>
    <n v="0"/>
    <n v="0"/>
    <n v="1"/>
    <x v="12"/>
    <x v="0"/>
    <x v="0"/>
    <s v="Dhaka"/>
    <x v="0"/>
    <x v="0"/>
    <x v="0"/>
  </r>
  <r>
    <x v="0"/>
    <n v="50"/>
    <n v="1"/>
    <n v="1"/>
    <n v="0"/>
    <x v="21"/>
    <x v="1"/>
    <x v="2"/>
    <s v="Dhaka"/>
    <x v="1"/>
    <x v="1"/>
    <x v="0"/>
  </r>
  <r>
    <x v="0"/>
    <n v="9"/>
    <n v="0"/>
    <n v="0"/>
    <n v="0"/>
    <x v="1"/>
    <x v="0"/>
    <x v="2"/>
    <s v="Dhaka"/>
    <x v="0"/>
    <x v="0"/>
    <x v="4"/>
  </r>
  <r>
    <x v="0"/>
    <n v="8"/>
    <n v="0"/>
    <n v="0"/>
    <n v="1"/>
    <x v="31"/>
    <x v="1"/>
    <x v="1"/>
    <s v="Dhaka"/>
    <x v="0"/>
    <x v="0"/>
    <x v="4"/>
  </r>
  <r>
    <x v="1"/>
    <n v="45"/>
    <n v="1"/>
    <n v="1"/>
    <n v="1"/>
    <x v="15"/>
    <x v="0"/>
    <x v="0"/>
    <s v="Dhaka"/>
    <x v="1"/>
    <x v="1"/>
    <x v="0"/>
  </r>
  <r>
    <x v="1"/>
    <n v="27"/>
    <n v="1"/>
    <n v="1"/>
    <n v="1"/>
    <x v="8"/>
    <x v="1"/>
    <x v="1"/>
    <s v="Dhaka"/>
    <x v="1"/>
    <x v="1"/>
    <x v="2"/>
  </r>
  <r>
    <x v="0"/>
    <n v="31"/>
    <n v="1"/>
    <n v="1"/>
    <n v="1"/>
    <x v="26"/>
    <x v="0"/>
    <x v="0"/>
    <s v="Dhaka"/>
    <x v="1"/>
    <x v="1"/>
    <x v="2"/>
  </r>
  <r>
    <x v="0"/>
    <n v="44"/>
    <n v="0"/>
    <n v="0"/>
    <n v="0"/>
    <x v="4"/>
    <x v="1"/>
    <x v="1"/>
    <s v="Dhaka"/>
    <x v="0"/>
    <x v="0"/>
    <x v="0"/>
  </r>
  <r>
    <x v="0"/>
    <n v="39"/>
    <n v="1"/>
    <n v="1"/>
    <n v="0"/>
    <x v="30"/>
    <x v="0"/>
    <x v="2"/>
    <s v="Dhaka"/>
    <x v="1"/>
    <x v="1"/>
    <x v="0"/>
  </r>
  <r>
    <x v="0"/>
    <n v="9"/>
    <n v="1"/>
    <n v="1"/>
    <n v="0"/>
    <x v="35"/>
    <x v="1"/>
    <x v="2"/>
    <s v="Dhaka"/>
    <x v="1"/>
    <x v="1"/>
    <x v="4"/>
  </r>
  <r>
    <x v="1"/>
    <n v="51"/>
    <n v="1"/>
    <n v="1"/>
    <n v="0"/>
    <x v="20"/>
    <x v="0"/>
    <x v="1"/>
    <s v="Dhaka"/>
    <x v="1"/>
    <x v="1"/>
    <x v="0"/>
  </r>
  <r>
    <x v="1"/>
    <n v="24"/>
    <n v="0"/>
    <n v="0"/>
    <n v="0"/>
    <x v="4"/>
    <x v="1"/>
    <x v="1"/>
    <s v="Dhaka"/>
    <x v="0"/>
    <x v="0"/>
    <x v="2"/>
  </r>
  <r>
    <x v="1"/>
    <n v="46"/>
    <n v="1"/>
    <n v="1"/>
    <n v="0"/>
    <x v="21"/>
    <x v="0"/>
    <x v="2"/>
    <s v="Dhaka"/>
    <x v="1"/>
    <x v="1"/>
    <x v="0"/>
  </r>
  <r>
    <x v="1"/>
    <n v="39"/>
    <n v="1"/>
    <n v="1"/>
    <n v="0"/>
    <x v="2"/>
    <x v="1"/>
    <x v="0"/>
    <s v="Dhaka"/>
    <x v="1"/>
    <x v="1"/>
    <x v="0"/>
  </r>
  <r>
    <x v="0"/>
    <n v="14"/>
    <n v="1"/>
    <n v="1"/>
    <n v="0"/>
    <x v="17"/>
    <x v="0"/>
    <x v="0"/>
    <s v="Dhaka"/>
    <x v="1"/>
    <x v="1"/>
    <x v="1"/>
  </r>
  <r>
    <x v="1"/>
    <n v="42"/>
    <n v="1"/>
    <n v="1"/>
    <n v="0"/>
    <x v="35"/>
    <x v="1"/>
    <x v="1"/>
    <s v="Dhaka"/>
    <x v="1"/>
    <x v="1"/>
    <x v="0"/>
  </r>
  <r>
    <x v="1"/>
    <n v="37"/>
    <n v="1"/>
    <n v="1"/>
    <n v="0"/>
    <x v="15"/>
    <x v="0"/>
    <x v="2"/>
    <s v="Dhaka"/>
    <x v="1"/>
    <x v="1"/>
    <x v="0"/>
  </r>
  <r>
    <x v="1"/>
    <n v="31"/>
    <n v="1"/>
    <n v="1"/>
    <n v="0"/>
    <x v="16"/>
    <x v="1"/>
    <x v="0"/>
    <s v="Dhaka"/>
    <x v="1"/>
    <x v="1"/>
    <x v="2"/>
  </r>
  <r>
    <x v="1"/>
    <n v="57"/>
    <n v="0"/>
    <n v="0"/>
    <n v="0"/>
    <x v="14"/>
    <x v="0"/>
    <x v="2"/>
    <s v="Dhaka"/>
    <x v="0"/>
    <x v="0"/>
    <x v="0"/>
  </r>
  <r>
    <x v="0"/>
    <n v="30"/>
    <n v="0"/>
    <n v="0"/>
    <n v="1"/>
    <x v="28"/>
    <x v="1"/>
    <x v="0"/>
    <s v="Dhaka"/>
    <x v="0"/>
    <x v="0"/>
    <x v="2"/>
  </r>
  <r>
    <x v="0"/>
    <n v="57"/>
    <n v="1"/>
    <n v="1"/>
    <n v="1"/>
    <x v="3"/>
    <x v="0"/>
    <x v="2"/>
    <s v="Dhaka"/>
    <x v="1"/>
    <x v="1"/>
    <x v="0"/>
  </r>
  <r>
    <x v="1"/>
    <n v="17"/>
    <n v="0"/>
    <n v="0"/>
    <n v="0"/>
    <x v="10"/>
    <x v="1"/>
    <x v="1"/>
    <s v="Dhaka"/>
    <x v="0"/>
    <x v="0"/>
    <x v="1"/>
  </r>
  <r>
    <x v="0"/>
    <n v="56"/>
    <n v="0"/>
    <n v="0"/>
    <n v="0"/>
    <x v="32"/>
    <x v="0"/>
    <x v="2"/>
    <s v="Dhaka"/>
    <x v="0"/>
    <x v="0"/>
    <x v="0"/>
  </r>
  <r>
    <x v="1"/>
    <n v="54"/>
    <n v="0"/>
    <n v="0"/>
    <n v="0"/>
    <x v="19"/>
    <x v="1"/>
    <x v="1"/>
    <s v="Dhaka"/>
    <x v="0"/>
    <x v="0"/>
    <x v="0"/>
  </r>
  <r>
    <x v="0"/>
    <n v="22"/>
    <n v="0"/>
    <n v="0"/>
    <n v="1"/>
    <x v="24"/>
    <x v="0"/>
    <x v="1"/>
    <s v="Dhaka"/>
    <x v="0"/>
    <x v="0"/>
    <x v="2"/>
  </r>
  <r>
    <x v="0"/>
    <n v="63"/>
    <n v="1"/>
    <n v="1"/>
    <n v="1"/>
    <x v="26"/>
    <x v="1"/>
    <x v="1"/>
    <s v="Dhaka"/>
    <x v="1"/>
    <x v="1"/>
    <x v="3"/>
  </r>
  <r>
    <x v="1"/>
    <n v="54"/>
    <n v="0"/>
    <n v="0"/>
    <n v="1"/>
    <x v="0"/>
    <x v="0"/>
    <x v="2"/>
    <s v="Dhaka"/>
    <x v="0"/>
    <x v="0"/>
    <x v="0"/>
  </r>
  <r>
    <x v="1"/>
    <n v="61"/>
    <n v="1"/>
    <n v="1"/>
    <n v="1"/>
    <x v="18"/>
    <x v="1"/>
    <x v="2"/>
    <s v="Dhaka"/>
    <x v="1"/>
    <x v="1"/>
    <x v="3"/>
  </r>
  <r>
    <x v="0"/>
    <n v="47"/>
    <n v="1"/>
    <n v="1"/>
    <n v="1"/>
    <x v="15"/>
    <x v="0"/>
    <x v="2"/>
    <s v="Dhaka"/>
    <x v="1"/>
    <x v="1"/>
    <x v="0"/>
  </r>
  <r>
    <x v="1"/>
    <n v="18"/>
    <n v="0"/>
    <n v="0"/>
    <n v="1"/>
    <x v="3"/>
    <x v="1"/>
    <x v="1"/>
    <s v="Dhaka"/>
    <x v="0"/>
    <x v="0"/>
    <x v="1"/>
  </r>
  <r>
    <x v="0"/>
    <n v="24"/>
    <n v="1"/>
    <n v="1"/>
    <n v="0"/>
    <x v="21"/>
    <x v="0"/>
    <x v="1"/>
    <s v="Dhaka"/>
    <x v="1"/>
    <x v="1"/>
    <x v="2"/>
  </r>
  <r>
    <x v="0"/>
    <n v="60"/>
    <n v="0"/>
    <n v="0"/>
    <n v="1"/>
    <x v="22"/>
    <x v="1"/>
    <x v="1"/>
    <s v="Dhaka"/>
    <x v="0"/>
    <x v="0"/>
    <x v="0"/>
  </r>
  <r>
    <x v="0"/>
    <n v="47"/>
    <n v="1"/>
    <n v="1"/>
    <n v="1"/>
    <x v="13"/>
    <x v="0"/>
    <x v="1"/>
    <s v="Dhaka"/>
    <x v="1"/>
    <x v="1"/>
    <x v="0"/>
  </r>
  <r>
    <x v="0"/>
    <n v="19"/>
    <n v="1"/>
    <n v="1"/>
    <n v="0"/>
    <x v="2"/>
    <x v="1"/>
    <x v="0"/>
    <s v="Dhaka"/>
    <x v="1"/>
    <x v="1"/>
    <x v="2"/>
  </r>
  <r>
    <x v="1"/>
    <n v="55"/>
    <n v="1"/>
    <n v="1"/>
    <n v="0"/>
    <x v="16"/>
    <x v="0"/>
    <x v="2"/>
    <s v="Dhaka"/>
    <x v="1"/>
    <x v="1"/>
    <x v="0"/>
  </r>
  <r>
    <x v="0"/>
    <n v="49"/>
    <n v="1"/>
    <n v="1"/>
    <n v="0"/>
    <x v="2"/>
    <x v="1"/>
    <x v="0"/>
    <s v="Dhaka"/>
    <x v="1"/>
    <x v="1"/>
    <x v="0"/>
  </r>
  <r>
    <x v="1"/>
    <n v="32"/>
    <n v="0"/>
    <n v="1"/>
    <n v="0"/>
    <x v="35"/>
    <x v="0"/>
    <x v="2"/>
    <s v="Dhaka"/>
    <x v="1"/>
    <x v="1"/>
    <x v="2"/>
  </r>
  <r>
    <x v="0"/>
    <n v="8"/>
    <n v="1"/>
    <n v="1"/>
    <n v="0"/>
    <x v="26"/>
    <x v="1"/>
    <x v="2"/>
    <s v="Dhaka"/>
    <x v="1"/>
    <x v="1"/>
    <x v="4"/>
  </r>
  <r>
    <x v="0"/>
    <n v="14"/>
    <n v="0"/>
    <n v="0"/>
    <n v="0"/>
    <x v="29"/>
    <x v="0"/>
    <x v="2"/>
    <s v="Dhaka"/>
    <x v="0"/>
    <x v="0"/>
    <x v="1"/>
  </r>
  <r>
    <x v="1"/>
    <n v="28"/>
    <n v="0"/>
    <n v="0"/>
    <n v="1"/>
    <x v="28"/>
    <x v="1"/>
    <x v="1"/>
    <s v="Dhaka"/>
    <x v="0"/>
    <x v="0"/>
    <x v="2"/>
  </r>
  <r>
    <x v="0"/>
    <n v="11"/>
    <n v="1"/>
    <n v="1"/>
    <n v="1"/>
    <x v="20"/>
    <x v="0"/>
    <x v="1"/>
    <s v="Dhaka"/>
    <x v="1"/>
    <x v="1"/>
    <x v="4"/>
  </r>
  <r>
    <x v="1"/>
    <n v="29"/>
    <n v="0"/>
    <n v="0"/>
    <n v="0"/>
    <x v="35"/>
    <x v="1"/>
    <x v="0"/>
    <s v="Dhaka"/>
    <x v="0"/>
    <x v="0"/>
    <x v="2"/>
  </r>
  <r>
    <x v="0"/>
    <n v="62"/>
    <n v="0"/>
    <n v="0"/>
    <n v="1"/>
    <x v="11"/>
    <x v="0"/>
    <x v="1"/>
    <s v="Dhaka"/>
    <x v="0"/>
    <x v="0"/>
    <x v="3"/>
  </r>
  <r>
    <x v="0"/>
    <n v="65"/>
    <n v="1"/>
    <n v="1"/>
    <n v="1"/>
    <x v="2"/>
    <x v="1"/>
    <x v="1"/>
    <s v="Dhaka"/>
    <x v="1"/>
    <x v="1"/>
    <x v="3"/>
  </r>
  <r>
    <x v="0"/>
    <n v="43"/>
    <n v="1"/>
    <n v="1"/>
    <n v="1"/>
    <x v="19"/>
    <x v="0"/>
    <x v="1"/>
    <s v="Dhaka"/>
    <x v="1"/>
    <x v="1"/>
    <x v="0"/>
  </r>
  <r>
    <x v="0"/>
    <n v="59"/>
    <n v="1"/>
    <n v="1"/>
    <n v="0"/>
    <x v="25"/>
    <x v="1"/>
    <x v="2"/>
    <s v="Dhaka"/>
    <x v="1"/>
    <x v="1"/>
    <x v="0"/>
  </r>
  <r>
    <x v="0"/>
    <n v="29"/>
    <n v="1"/>
    <n v="1"/>
    <n v="1"/>
    <x v="1"/>
    <x v="0"/>
    <x v="2"/>
    <s v="Dhaka"/>
    <x v="1"/>
    <x v="1"/>
    <x v="2"/>
  </r>
  <r>
    <x v="1"/>
    <n v="17"/>
    <n v="0"/>
    <n v="0"/>
    <n v="0"/>
    <x v="31"/>
    <x v="1"/>
    <x v="0"/>
    <s v="Dhaka"/>
    <x v="0"/>
    <x v="0"/>
    <x v="1"/>
  </r>
  <r>
    <x v="0"/>
    <n v="41"/>
    <n v="1"/>
    <n v="1"/>
    <n v="1"/>
    <x v="11"/>
    <x v="0"/>
    <x v="1"/>
    <s v="Dhaka"/>
    <x v="1"/>
    <x v="1"/>
    <x v="0"/>
  </r>
  <r>
    <x v="0"/>
    <n v="8"/>
    <n v="1"/>
    <n v="1"/>
    <n v="1"/>
    <x v="29"/>
    <x v="1"/>
    <x v="0"/>
    <s v="Dhaka"/>
    <x v="1"/>
    <x v="1"/>
    <x v="4"/>
  </r>
  <r>
    <x v="0"/>
    <n v="29"/>
    <n v="1"/>
    <n v="1"/>
    <n v="0"/>
    <x v="13"/>
    <x v="0"/>
    <x v="2"/>
    <s v="Dhaka"/>
    <x v="1"/>
    <x v="1"/>
    <x v="2"/>
  </r>
  <r>
    <x v="0"/>
    <n v="54"/>
    <n v="1"/>
    <n v="1"/>
    <n v="0"/>
    <x v="32"/>
    <x v="1"/>
    <x v="2"/>
    <s v="Dhaka"/>
    <x v="1"/>
    <x v="1"/>
    <x v="0"/>
  </r>
  <r>
    <x v="0"/>
    <n v="53"/>
    <n v="0"/>
    <n v="0"/>
    <n v="1"/>
    <x v="1"/>
    <x v="0"/>
    <x v="0"/>
    <s v="Dhaka"/>
    <x v="0"/>
    <x v="0"/>
    <x v="0"/>
  </r>
  <r>
    <x v="1"/>
    <n v="16"/>
    <n v="1"/>
    <n v="1"/>
    <n v="1"/>
    <x v="27"/>
    <x v="1"/>
    <x v="0"/>
    <s v="Dhaka"/>
    <x v="1"/>
    <x v="1"/>
    <x v="1"/>
  </r>
  <r>
    <x v="1"/>
    <n v="43"/>
    <n v="0"/>
    <n v="0"/>
    <n v="1"/>
    <x v="13"/>
    <x v="0"/>
    <x v="0"/>
    <s v="Dhaka"/>
    <x v="0"/>
    <x v="0"/>
    <x v="0"/>
  </r>
  <r>
    <x v="1"/>
    <n v="54"/>
    <n v="0"/>
    <n v="0"/>
    <n v="0"/>
    <x v="18"/>
    <x v="1"/>
    <x v="1"/>
    <s v="Dhaka"/>
    <x v="0"/>
    <x v="0"/>
    <x v="0"/>
  </r>
  <r>
    <x v="1"/>
    <n v="41"/>
    <n v="0"/>
    <n v="0"/>
    <n v="0"/>
    <x v="21"/>
    <x v="0"/>
    <x v="2"/>
    <s v="Dhaka"/>
    <x v="0"/>
    <x v="0"/>
    <x v="0"/>
  </r>
  <r>
    <x v="1"/>
    <n v="42"/>
    <n v="0"/>
    <n v="0"/>
    <n v="0"/>
    <x v="33"/>
    <x v="1"/>
    <x v="1"/>
    <s v="Dhaka"/>
    <x v="0"/>
    <x v="0"/>
    <x v="0"/>
  </r>
  <r>
    <x v="0"/>
    <n v="45"/>
    <n v="1"/>
    <n v="1"/>
    <n v="1"/>
    <x v="7"/>
    <x v="0"/>
    <x v="1"/>
    <s v="Dhaka"/>
    <x v="1"/>
    <x v="1"/>
    <x v="0"/>
  </r>
  <r>
    <x v="1"/>
    <n v="13"/>
    <n v="1"/>
    <n v="1"/>
    <n v="1"/>
    <x v="32"/>
    <x v="1"/>
    <x v="1"/>
    <s v="Dhaka"/>
    <x v="1"/>
    <x v="1"/>
    <x v="1"/>
  </r>
  <r>
    <x v="0"/>
    <n v="10"/>
    <n v="1"/>
    <n v="1"/>
    <n v="0"/>
    <x v="27"/>
    <x v="0"/>
    <x v="0"/>
    <s v="Dhaka"/>
    <x v="1"/>
    <x v="1"/>
    <x v="4"/>
  </r>
  <r>
    <x v="1"/>
    <n v="18"/>
    <n v="1"/>
    <n v="1"/>
    <n v="0"/>
    <x v="13"/>
    <x v="1"/>
    <x v="0"/>
    <s v="Dhaka"/>
    <x v="1"/>
    <x v="1"/>
    <x v="1"/>
  </r>
  <r>
    <x v="0"/>
    <n v="9"/>
    <n v="1"/>
    <n v="1"/>
    <n v="0"/>
    <x v="14"/>
    <x v="0"/>
    <x v="2"/>
    <s v="Dhaka"/>
    <x v="1"/>
    <x v="1"/>
    <x v="4"/>
  </r>
  <r>
    <x v="0"/>
    <n v="63"/>
    <n v="0"/>
    <n v="0"/>
    <n v="1"/>
    <x v="25"/>
    <x v="1"/>
    <x v="2"/>
    <s v="Dhaka"/>
    <x v="0"/>
    <x v="0"/>
    <x v="3"/>
  </r>
  <r>
    <x v="1"/>
    <n v="36"/>
    <n v="1"/>
    <n v="1"/>
    <n v="0"/>
    <x v="5"/>
    <x v="0"/>
    <x v="0"/>
    <s v="Dhaka"/>
    <x v="1"/>
    <x v="1"/>
    <x v="0"/>
  </r>
  <r>
    <x v="1"/>
    <n v="15"/>
    <n v="0"/>
    <n v="0"/>
    <n v="1"/>
    <x v="14"/>
    <x v="1"/>
    <x v="0"/>
    <s v="Dhaka"/>
    <x v="0"/>
    <x v="0"/>
    <x v="1"/>
  </r>
  <r>
    <x v="1"/>
    <n v="30"/>
    <n v="0"/>
    <n v="0"/>
    <n v="0"/>
    <x v="2"/>
    <x v="0"/>
    <x v="1"/>
    <s v="Dhaka"/>
    <x v="0"/>
    <x v="0"/>
    <x v="2"/>
  </r>
  <r>
    <x v="0"/>
    <n v="40"/>
    <n v="1"/>
    <n v="1"/>
    <n v="0"/>
    <x v="16"/>
    <x v="1"/>
    <x v="0"/>
    <s v="Dhaka"/>
    <x v="1"/>
    <x v="1"/>
    <x v="0"/>
  </r>
  <r>
    <x v="1"/>
    <n v="45"/>
    <n v="1"/>
    <n v="1"/>
    <n v="0"/>
    <x v="2"/>
    <x v="0"/>
    <x v="2"/>
    <s v="Dhaka"/>
    <x v="1"/>
    <x v="1"/>
    <x v="0"/>
  </r>
  <r>
    <x v="0"/>
    <n v="14"/>
    <n v="0"/>
    <n v="0"/>
    <n v="1"/>
    <x v="13"/>
    <x v="1"/>
    <x v="1"/>
    <s v="Dhaka"/>
    <x v="0"/>
    <x v="0"/>
    <x v="1"/>
  </r>
  <r>
    <x v="0"/>
    <n v="9"/>
    <n v="1"/>
    <n v="1"/>
    <n v="0"/>
    <x v="5"/>
    <x v="0"/>
    <x v="2"/>
    <s v="Dhaka"/>
    <x v="1"/>
    <x v="1"/>
    <x v="4"/>
  </r>
  <r>
    <x v="0"/>
    <n v="42"/>
    <n v="0"/>
    <n v="0"/>
    <n v="1"/>
    <x v="33"/>
    <x v="1"/>
    <x v="1"/>
    <s v="Dhaka"/>
    <x v="0"/>
    <x v="0"/>
    <x v="0"/>
  </r>
  <r>
    <x v="0"/>
    <n v="17"/>
    <n v="0"/>
    <n v="0"/>
    <n v="0"/>
    <x v="7"/>
    <x v="0"/>
    <x v="0"/>
    <s v="Dhaka"/>
    <x v="0"/>
    <x v="0"/>
    <x v="1"/>
  </r>
  <r>
    <x v="0"/>
    <n v="49"/>
    <n v="0"/>
    <n v="0"/>
    <n v="0"/>
    <x v="19"/>
    <x v="1"/>
    <x v="0"/>
    <s v="Dhaka"/>
    <x v="0"/>
    <x v="0"/>
    <x v="0"/>
  </r>
  <r>
    <x v="1"/>
    <n v="14"/>
    <n v="0"/>
    <n v="0"/>
    <n v="0"/>
    <x v="32"/>
    <x v="0"/>
    <x v="1"/>
    <s v="Dhaka"/>
    <x v="0"/>
    <x v="0"/>
    <x v="1"/>
  </r>
  <r>
    <x v="0"/>
    <n v="41"/>
    <n v="0"/>
    <n v="0"/>
    <n v="0"/>
    <x v="17"/>
    <x v="1"/>
    <x v="0"/>
    <s v="Dhaka"/>
    <x v="0"/>
    <x v="0"/>
    <x v="0"/>
  </r>
  <r>
    <x v="0"/>
    <n v="27"/>
    <n v="1"/>
    <n v="1"/>
    <n v="1"/>
    <x v="35"/>
    <x v="0"/>
    <x v="1"/>
    <s v="Dhaka"/>
    <x v="1"/>
    <x v="1"/>
    <x v="2"/>
  </r>
  <r>
    <x v="1"/>
    <n v="38"/>
    <n v="1"/>
    <n v="1"/>
    <n v="0"/>
    <x v="32"/>
    <x v="1"/>
    <x v="0"/>
    <s v="Dhaka"/>
    <x v="1"/>
    <x v="1"/>
    <x v="0"/>
  </r>
  <r>
    <x v="0"/>
    <n v="14"/>
    <n v="1"/>
    <n v="1"/>
    <n v="0"/>
    <x v="34"/>
    <x v="0"/>
    <x v="1"/>
    <s v="Dhaka"/>
    <x v="1"/>
    <x v="1"/>
    <x v="1"/>
  </r>
  <r>
    <x v="1"/>
    <n v="28"/>
    <n v="0"/>
    <n v="0"/>
    <n v="1"/>
    <x v="32"/>
    <x v="1"/>
    <x v="2"/>
    <s v="Dhaka"/>
    <x v="0"/>
    <x v="0"/>
    <x v="2"/>
  </r>
  <r>
    <x v="1"/>
    <n v="35"/>
    <n v="1"/>
    <n v="1"/>
    <n v="1"/>
    <x v="35"/>
    <x v="0"/>
    <x v="0"/>
    <s v="Dhaka"/>
    <x v="1"/>
    <x v="1"/>
    <x v="2"/>
  </r>
  <r>
    <x v="1"/>
    <n v="59"/>
    <n v="0"/>
    <n v="0"/>
    <n v="1"/>
    <x v="35"/>
    <x v="1"/>
    <x v="0"/>
    <s v="Dhaka"/>
    <x v="0"/>
    <x v="0"/>
    <x v="0"/>
  </r>
  <r>
    <x v="0"/>
    <n v="58"/>
    <n v="1"/>
    <n v="1"/>
    <n v="1"/>
    <x v="25"/>
    <x v="0"/>
    <x v="0"/>
    <s v="Dhaka"/>
    <x v="1"/>
    <x v="1"/>
    <x v="0"/>
  </r>
  <r>
    <x v="1"/>
    <n v="40"/>
    <n v="0"/>
    <n v="0"/>
    <n v="1"/>
    <x v="30"/>
    <x v="1"/>
    <x v="0"/>
    <s v="Dhaka"/>
    <x v="0"/>
    <x v="0"/>
    <x v="0"/>
  </r>
  <r>
    <x v="1"/>
    <n v="25"/>
    <n v="0"/>
    <n v="0"/>
    <n v="1"/>
    <x v="2"/>
    <x v="0"/>
    <x v="2"/>
    <s v="Dhaka"/>
    <x v="0"/>
    <x v="0"/>
    <x v="2"/>
  </r>
  <r>
    <x v="1"/>
    <n v="63"/>
    <n v="0"/>
    <n v="0"/>
    <n v="1"/>
    <x v="22"/>
    <x v="1"/>
    <x v="1"/>
    <s v="Dhaka"/>
    <x v="0"/>
    <x v="0"/>
    <x v="3"/>
  </r>
  <r>
    <x v="0"/>
    <n v="48"/>
    <n v="1"/>
    <n v="1"/>
    <n v="0"/>
    <x v="24"/>
    <x v="0"/>
    <x v="0"/>
    <s v="Dhaka"/>
    <x v="1"/>
    <x v="1"/>
    <x v="0"/>
  </r>
  <r>
    <x v="1"/>
    <n v="15"/>
    <n v="1"/>
    <n v="1"/>
    <n v="1"/>
    <x v="9"/>
    <x v="1"/>
    <x v="2"/>
    <s v="Dhaka"/>
    <x v="1"/>
    <x v="1"/>
    <x v="1"/>
  </r>
  <r>
    <x v="1"/>
    <n v="60"/>
    <n v="0"/>
    <n v="0"/>
    <n v="1"/>
    <x v="31"/>
    <x v="0"/>
    <x v="1"/>
    <s v="Dhaka"/>
    <x v="0"/>
    <x v="0"/>
    <x v="0"/>
  </r>
  <r>
    <x v="0"/>
    <n v="13"/>
    <n v="0"/>
    <n v="0"/>
    <n v="1"/>
    <x v="26"/>
    <x v="1"/>
    <x v="2"/>
    <s v="Dhaka"/>
    <x v="0"/>
    <x v="0"/>
    <x v="1"/>
  </r>
  <r>
    <x v="0"/>
    <n v="58"/>
    <n v="0"/>
    <n v="0"/>
    <n v="1"/>
    <x v="16"/>
    <x v="0"/>
    <x v="2"/>
    <s v="Dhaka"/>
    <x v="0"/>
    <x v="0"/>
    <x v="0"/>
  </r>
  <r>
    <x v="1"/>
    <n v="53"/>
    <n v="1"/>
    <n v="1"/>
    <n v="1"/>
    <x v="5"/>
    <x v="1"/>
    <x v="1"/>
    <s v="Dhaka"/>
    <x v="1"/>
    <x v="1"/>
    <x v="0"/>
  </r>
  <r>
    <x v="1"/>
    <n v="61"/>
    <n v="1"/>
    <n v="1"/>
    <n v="1"/>
    <x v="31"/>
    <x v="0"/>
    <x v="2"/>
    <s v="Dhaka"/>
    <x v="1"/>
    <x v="1"/>
    <x v="3"/>
  </r>
  <r>
    <x v="0"/>
    <n v="44"/>
    <n v="0"/>
    <n v="0"/>
    <n v="1"/>
    <x v="31"/>
    <x v="1"/>
    <x v="1"/>
    <s v="Dhaka"/>
    <x v="0"/>
    <x v="0"/>
    <x v="0"/>
  </r>
  <r>
    <x v="0"/>
    <n v="40"/>
    <n v="0"/>
    <n v="0"/>
    <n v="0"/>
    <x v="30"/>
    <x v="0"/>
    <x v="2"/>
    <s v="Dhaka"/>
    <x v="0"/>
    <x v="0"/>
    <x v="0"/>
  </r>
  <r>
    <x v="1"/>
    <n v="49"/>
    <n v="0"/>
    <n v="0"/>
    <n v="0"/>
    <x v="5"/>
    <x v="1"/>
    <x v="2"/>
    <s v="Dhaka"/>
    <x v="0"/>
    <x v="0"/>
    <x v="0"/>
  </r>
  <r>
    <x v="1"/>
    <n v="56"/>
    <n v="1"/>
    <n v="1"/>
    <n v="0"/>
    <x v="10"/>
    <x v="0"/>
    <x v="0"/>
    <s v="Dhaka"/>
    <x v="1"/>
    <x v="1"/>
    <x v="0"/>
  </r>
  <r>
    <x v="0"/>
    <n v="28"/>
    <n v="0"/>
    <n v="0"/>
    <n v="1"/>
    <x v="32"/>
    <x v="1"/>
    <x v="0"/>
    <s v="Dhaka"/>
    <x v="0"/>
    <x v="0"/>
    <x v="2"/>
  </r>
  <r>
    <x v="1"/>
    <n v="40"/>
    <n v="0"/>
    <n v="0"/>
    <n v="0"/>
    <x v="33"/>
    <x v="0"/>
    <x v="2"/>
    <s v="Dhaka"/>
    <x v="0"/>
    <x v="0"/>
    <x v="0"/>
  </r>
  <r>
    <x v="1"/>
    <n v="25"/>
    <n v="1"/>
    <n v="1"/>
    <n v="0"/>
    <x v="35"/>
    <x v="1"/>
    <x v="2"/>
    <s v="Dhaka"/>
    <x v="1"/>
    <x v="1"/>
    <x v="2"/>
  </r>
  <r>
    <x v="0"/>
    <n v="52"/>
    <n v="0"/>
    <n v="0"/>
    <n v="0"/>
    <x v="2"/>
    <x v="0"/>
    <x v="0"/>
    <s v="Dhaka"/>
    <x v="0"/>
    <x v="0"/>
    <x v="0"/>
  </r>
  <r>
    <x v="0"/>
    <n v="60"/>
    <n v="0"/>
    <n v="0"/>
    <n v="0"/>
    <x v="26"/>
    <x v="1"/>
    <x v="1"/>
    <s v="Dhaka"/>
    <x v="0"/>
    <x v="0"/>
    <x v="0"/>
  </r>
  <r>
    <x v="0"/>
    <n v="59"/>
    <n v="0"/>
    <n v="0"/>
    <n v="1"/>
    <x v="13"/>
    <x v="0"/>
    <x v="0"/>
    <s v="Dhaka"/>
    <x v="0"/>
    <x v="0"/>
    <x v="0"/>
  </r>
  <r>
    <x v="0"/>
    <n v="35"/>
    <n v="1"/>
    <n v="1"/>
    <n v="0"/>
    <x v="18"/>
    <x v="1"/>
    <x v="0"/>
    <s v="Dhaka"/>
    <x v="1"/>
    <x v="1"/>
    <x v="2"/>
  </r>
  <r>
    <x v="0"/>
    <n v="48"/>
    <n v="1"/>
    <n v="1"/>
    <n v="1"/>
    <x v="30"/>
    <x v="0"/>
    <x v="1"/>
    <s v="Dhaka"/>
    <x v="1"/>
    <x v="1"/>
    <x v="0"/>
  </r>
  <r>
    <x v="1"/>
    <n v="31"/>
    <n v="1"/>
    <n v="1"/>
    <n v="1"/>
    <x v="2"/>
    <x v="1"/>
    <x v="1"/>
    <s v="Dhaka"/>
    <x v="1"/>
    <x v="1"/>
    <x v="2"/>
  </r>
  <r>
    <x v="1"/>
    <n v="33"/>
    <n v="1"/>
    <n v="1"/>
    <n v="0"/>
    <x v="23"/>
    <x v="0"/>
    <x v="2"/>
    <s v="Dhaka"/>
    <x v="1"/>
    <x v="1"/>
    <x v="2"/>
  </r>
  <r>
    <x v="0"/>
    <n v="39"/>
    <n v="1"/>
    <n v="1"/>
    <n v="1"/>
    <x v="6"/>
    <x v="1"/>
    <x v="0"/>
    <s v="Dhaka"/>
    <x v="1"/>
    <x v="1"/>
    <x v="0"/>
  </r>
  <r>
    <x v="1"/>
    <n v="34"/>
    <n v="0"/>
    <n v="0"/>
    <n v="0"/>
    <x v="20"/>
    <x v="0"/>
    <x v="1"/>
    <s v="Dhaka"/>
    <x v="0"/>
    <x v="0"/>
    <x v="2"/>
  </r>
  <r>
    <x v="0"/>
    <n v="33"/>
    <n v="1"/>
    <n v="1"/>
    <n v="1"/>
    <x v="32"/>
    <x v="1"/>
    <x v="1"/>
    <s v="Dhaka"/>
    <x v="1"/>
    <x v="1"/>
    <x v="2"/>
  </r>
  <r>
    <x v="0"/>
    <n v="18"/>
    <n v="0"/>
    <n v="1"/>
    <n v="1"/>
    <x v="32"/>
    <x v="0"/>
    <x v="2"/>
    <s v="Dhaka"/>
    <x v="1"/>
    <x v="1"/>
    <x v="1"/>
  </r>
  <r>
    <x v="0"/>
    <n v="43"/>
    <n v="1"/>
    <n v="1"/>
    <n v="1"/>
    <x v="15"/>
    <x v="1"/>
    <x v="1"/>
    <s v="Dhaka"/>
    <x v="1"/>
    <x v="1"/>
    <x v="0"/>
  </r>
  <r>
    <x v="1"/>
    <n v="61"/>
    <n v="0"/>
    <n v="0"/>
    <n v="1"/>
    <x v="8"/>
    <x v="0"/>
    <x v="0"/>
    <s v="Dhaka"/>
    <x v="0"/>
    <x v="0"/>
    <x v="3"/>
  </r>
  <r>
    <x v="0"/>
    <n v="46"/>
    <n v="0"/>
    <n v="0"/>
    <n v="0"/>
    <x v="4"/>
    <x v="1"/>
    <x v="1"/>
    <s v="Dhaka"/>
    <x v="0"/>
    <x v="0"/>
    <x v="0"/>
  </r>
  <r>
    <x v="1"/>
    <n v="59"/>
    <n v="1"/>
    <n v="1"/>
    <n v="1"/>
    <x v="12"/>
    <x v="0"/>
    <x v="1"/>
    <s v="Dhaka"/>
    <x v="1"/>
    <x v="1"/>
    <x v="0"/>
  </r>
  <r>
    <x v="0"/>
    <n v="55"/>
    <n v="1"/>
    <n v="1"/>
    <n v="1"/>
    <x v="11"/>
    <x v="1"/>
    <x v="0"/>
    <s v="Dhaka"/>
    <x v="1"/>
    <x v="1"/>
    <x v="0"/>
  </r>
  <r>
    <x v="1"/>
    <n v="25"/>
    <n v="0"/>
    <n v="0"/>
    <n v="1"/>
    <x v="0"/>
    <x v="0"/>
    <x v="2"/>
    <s v="Dhaka"/>
    <x v="0"/>
    <x v="0"/>
    <x v="2"/>
  </r>
  <r>
    <x v="0"/>
    <n v="53"/>
    <n v="0"/>
    <n v="0"/>
    <n v="1"/>
    <x v="15"/>
    <x v="1"/>
    <x v="2"/>
    <s v="Dhaka"/>
    <x v="0"/>
    <x v="0"/>
    <x v="0"/>
  </r>
  <r>
    <x v="0"/>
    <n v="32"/>
    <n v="1"/>
    <n v="1"/>
    <n v="0"/>
    <x v="33"/>
    <x v="0"/>
    <x v="0"/>
    <s v="Dhaka"/>
    <x v="1"/>
    <x v="1"/>
    <x v="2"/>
  </r>
  <r>
    <x v="1"/>
    <n v="40"/>
    <n v="1"/>
    <n v="1"/>
    <n v="1"/>
    <x v="26"/>
    <x v="1"/>
    <x v="1"/>
    <s v="Dhaka"/>
    <x v="1"/>
    <x v="1"/>
    <x v="0"/>
  </r>
  <r>
    <x v="1"/>
    <n v="57"/>
    <n v="1"/>
    <n v="1"/>
    <n v="1"/>
    <x v="18"/>
    <x v="0"/>
    <x v="0"/>
    <s v="Dhaka"/>
    <x v="1"/>
    <x v="1"/>
    <x v="0"/>
  </r>
  <r>
    <x v="1"/>
    <n v="43"/>
    <n v="0"/>
    <n v="0"/>
    <n v="1"/>
    <x v="12"/>
    <x v="1"/>
    <x v="1"/>
    <s v="Dhaka"/>
    <x v="0"/>
    <x v="0"/>
    <x v="0"/>
  </r>
  <r>
    <x v="1"/>
    <n v="43"/>
    <n v="0"/>
    <n v="0"/>
    <n v="1"/>
    <x v="23"/>
    <x v="0"/>
    <x v="0"/>
    <s v="Dhaka"/>
    <x v="0"/>
    <x v="0"/>
    <x v="0"/>
  </r>
  <r>
    <x v="1"/>
    <n v="57"/>
    <n v="0"/>
    <n v="0"/>
    <n v="0"/>
    <x v="27"/>
    <x v="1"/>
    <x v="0"/>
    <s v="Dhaka"/>
    <x v="0"/>
    <x v="0"/>
    <x v="0"/>
  </r>
  <r>
    <x v="0"/>
    <n v="55"/>
    <n v="1"/>
    <n v="1"/>
    <n v="1"/>
    <x v="1"/>
    <x v="0"/>
    <x v="1"/>
    <s v="Dhaka"/>
    <x v="1"/>
    <x v="1"/>
    <x v="0"/>
  </r>
  <r>
    <x v="0"/>
    <n v="16"/>
    <n v="1"/>
    <n v="1"/>
    <n v="0"/>
    <x v="35"/>
    <x v="1"/>
    <x v="0"/>
    <s v="Dhaka"/>
    <x v="1"/>
    <x v="1"/>
    <x v="1"/>
  </r>
  <r>
    <x v="1"/>
    <n v="25"/>
    <n v="0"/>
    <n v="0"/>
    <n v="1"/>
    <x v="14"/>
    <x v="0"/>
    <x v="1"/>
    <s v="Dhaka"/>
    <x v="0"/>
    <x v="0"/>
    <x v="2"/>
  </r>
  <r>
    <x v="0"/>
    <n v="28"/>
    <n v="1"/>
    <n v="1"/>
    <n v="0"/>
    <x v="35"/>
    <x v="1"/>
    <x v="1"/>
    <s v="Dhaka"/>
    <x v="1"/>
    <x v="1"/>
    <x v="2"/>
  </r>
  <r>
    <x v="0"/>
    <n v="41"/>
    <n v="0"/>
    <n v="0"/>
    <n v="0"/>
    <x v="34"/>
    <x v="0"/>
    <x v="1"/>
    <s v="Dhaka"/>
    <x v="0"/>
    <x v="0"/>
    <x v="0"/>
  </r>
  <r>
    <x v="1"/>
    <n v="52"/>
    <n v="1"/>
    <n v="1"/>
    <n v="1"/>
    <x v="21"/>
    <x v="1"/>
    <x v="1"/>
    <s v="Dhaka"/>
    <x v="1"/>
    <x v="1"/>
    <x v="0"/>
  </r>
  <r>
    <x v="1"/>
    <n v="46"/>
    <n v="1"/>
    <n v="1"/>
    <n v="0"/>
    <x v="16"/>
    <x v="0"/>
    <x v="2"/>
    <s v="Dhaka"/>
    <x v="1"/>
    <x v="1"/>
    <x v="0"/>
  </r>
  <r>
    <x v="0"/>
    <n v="55"/>
    <n v="0"/>
    <n v="0"/>
    <n v="1"/>
    <x v="19"/>
    <x v="1"/>
    <x v="0"/>
    <s v="Dhaka"/>
    <x v="0"/>
    <x v="0"/>
    <x v="0"/>
  </r>
  <r>
    <x v="0"/>
    <n v="53"/>
    <n v="1"/>
    <n v="1"/>
    <n v="1"/>
    <x v="7"/>
    <x v="0"/>
    <x v="2"/>
    <s v="Dhaka"/>
    <x v="1"/>
    <x v="1"/>
    <x v="0"/>
  </r>
  <r>
    <x v="0"/>
    <n v="42"/>
    <n v="1"/>
    <n v="1"/>
    <n v="0"/>
    <x v="31"/>
    <x v="1"/>
    <x v="1"/>
    <s v="Dhaka"/>
    <x v="1"/>
    <x v="1"/>
    <x v="0"/>
  </r>
  <r>
    <x v="0"/>
    <n v="30"/>
    <n v="0"/>
    <n v="0"/>
    <n v="0"/>
    <x v="32"/>
    <x v="0"/>
    <x v="0"/>
    <s v="Dhaka"/>
    <x v="0"/>
    <x v="0"/>
    <x v="2"/>
  </r>
  <r>
    <x v="0"/>
    <n v="18"/>
    <n v="1"/>
    <n v="1"/>
    <n v="0"/>
    <x v="32"/>
    <x v="1"/>
    <x v="2"/>
    <s v="Dhaka"/>
    <x v="1"/>
    <x v="1"/>
    <x v="1"/>
  </r>
  <r>
    <x v="0"/>
    <n v="44"/>
    <n v="0"/>
    <n v="0"/>
    <n v="1"/>
    <x v="29"/>
    <x v="0"/>
    <x v="0"/>
    <s v="Dhaka"/>
    <x v="0"/>
    <x v="0"/>
    <x v="0"/>
  </r>
  <r>
    <x v="0"/>
    <n v="21"/>
    <n v="1"/>
    <n v="1"/>
    <n v="1"/>
    <x v="33"/>
    <x v="1"/>
    <x v="2"/>
    <s v="Dhaka"/>
    <x v="1"/>
    <x v="1"/>
    <x v="2"/>
  </r>
  <r>
    <x v="1"/>
    <n v="56"/>
    <n v="0"/>
    <n v="0"/>
    <n v="0"/>
    <x v="10"/>
    <x v="0"/>
    <x v="0"/>
    <s v="Dhaka"/>
    <x v="0"/>
    <x v="0"/>
    <x v="0"/>
  </r>
  <r>
    <x v="1"/>
    <n v="50"/>
    <n v="1"/>
    <n v="1"/>
    <n v="0"/>
    <x v="30"/>
    <x v="1"/>
    <x v="0"/>
    <s v="Dhaka"/>
    <x v="1"/>
    <x v="1"/>
    <x v="0"/>
  </r>
  <r>
    <x v="0"/>
    <n v="12"/>
    <n v="1"/>
    <n v="1"/>
    <n v="0"/>
    <x v="20"/>
    <x v="0"/>
    <x v="2"/>
    <s v="Dhaka"/>
    <x v="1"/>
    <x v="1"/>
    <x v="4"/>
  </r>
  <r>
    <x v="1"/>
    <n v="43"/>
    <n v="0"/>
    <n v="0"/>
    <n v="0"/>
    <x v="5"/>
    <x v="1"/>
    <x v="1"/>
    <s v="Dhaka"/>
    <x v="0"/>
    <x v="0"/>
    <x v="0"/>
  </r>
  <r>
    <x v="0"/>
    <n v="42"/>
    <n v="1"/>
    <n v="1"/>
    <n v="0"/>
    <x v="10"/>
    <x v="0"/>
    <x v="0"/>
    <s v="Dhaka"/>
    <x v="1"/>
    <x v="1"/>
    <x v="0"/>
  </r>
  <r>
    <x v="0"/>
    <n v="38"/>
    <n v="0"/>
    <n v="1"/>
    <n v="0"/>
    <x v="15"/>
    <x v="1"/>
    <x v="1"/>
    <s v="Dhaka"/>
    <x v="1"/>
    <x v="1"/>
    <x v="0"/>
  </r>
  <r>
    <x v="1"/>
    <n v="62"/>
    <n v="1"/>
    <n v="1"/>
    <n v="0"/>
    <x v="26"/>
    <x v="0"/>
    <x v="2"/>
    <s v="Dhaka"/>
    <x v="1"/>
    <x v="1"/>
    <x v="3"/>
  </r>
  <r>
    <x v="0"/>
    <n v="32"/>
    <n v="0"/>
    <n v="0"/>
    <n v="0"/>
    <x v="31"/>
    <x v="1"/>
    <x v="2"/>
    <s v="Dhaka"/>
    <x v="0"/>
    <x v="0"/>
    <x v="2"/>
  </r>
  <r>
    <x v="1"/>
    <n v="19"/>
    <n v="1"/>
    <n v="1"/>
    <n v="0"/>
    <x v="32"/>
    <x v="0"/>
    <x v="0"/>
    <s v="Dhaka"/>
    <x v="1"/>
    <x v="1"/>
    <x v="2"/>
  </r>
  <r>
    <x v="0"/>
    <n v="19"/>
    <n v="1"/>
    <n v="1"/>
    <n v="1"/>
    <x v="8"/>
    <x v="1"/>
    <x v="1"/>
    <s v="Dhaka"/>
    <x v="1"/>
    <x v="1"/>
    <x v="2"/>
  </r>
  <r>
    <x v="1"/>
    <n v="40"/>
    <n v="1"/>
    <n v="1"/>
    <n v="1"/>
    <x v="22"/>
    <x v="0"/>
    <x v="1"/>
    <s v="Dhaka"/>
    <x v="1"/>
    <x v="1"/>
    <x v="0"/>
  </r>
  <r>
    <x v="0"/>
    <n v="10"/>
    <n v="0"/>
    <n v="0"/>
    <n v="1"/>
    <x v="10"/>
    <x v="1"/>
    <x v="2"/>
    <s v="Dhaka"/>
    <x v="0"/>
    <x v="0"/>
    <x v="4"/>
  </r>
  <r>
    <x v="0"/>
    <n v="20"/>
    <n v="0"/>
    <n v="0"/>
    <n v="0"/>
    <x v="6"/>
    <x v="0"/>
    <x v="2"/>
    <s v="Dhaka"/>
    <x v="0"/>
    <x v="0"/>
    <x v="2"/>
  </r>
  <r>
    <x v="1"/>
    <n v="26"/>
    <n v="0"/>
    <n v="0"/>
    <n v="0"/>
    <x v="7"/>
    <x v="1"/>
    <x v="1"/>
    <s v="Dhaka"/>
    <x v="0"/>
    <x v="0"/>
    <x v="2"/>
  </r>
  <r>
    <x v="1"/>
    <n v="29"/>
    <n v="0"/>
    <n v="0"/>
    <n v="0"/>
    <x v="23"/>
    <x v="0"/>
    <x v="2"/>
    <s v="Dhaka"/>
    <x v="0"/>
    <x v="0"/>
    <x v="2"/>
  </r>
  <r>
    <x v="1"/>
    <n v="39"/>
    <n v="1"/>
    <n v="1"/>
    <n v="1"/>
    <x v="11"/>
    <x v="1"/>
    <x v="1"/>
    <s v="Dhaka"/>
    <x v="1"/>
    <x v="1"/>
    <x v="0"/>
  </r>
  <r>
    <x v="0"/>
    <n v="65"/>
    <n v="1"/>
    <n v="1"/>
    <n v="1"/>
    <x v="24"/>
    <x v="0"/>
    <x v="1"/>
    <s v="Dhaka"/>
    <x v="1"/>
    <x v="1"/>
    <x v="3"/>
  </r>
  <r>
    <x v="0"/>
    <n v="38"/>
    <n v="0"/>
    <n v="0"/>
    <n v="1"/>
    <x v="31"/>
    <x v="1"/>
    <x v="1"/>
    <s v="Dhaka"/>
    <x v="0"/>
    <x v="0"/>
    <x v="0"/>
  </r>
  <r>
    <x v="1"/>
    <n v="14"/>
    <n v="0"/>
    <n v="0"/>
    <n v="0"/>
    <x v="31"/>
    <x v="0"/>
    <x v="2"/>
    <s v="Dhaka"/>
    <x v="0"/>
    <x v="0"/>
    <x v="1"/>
  </r>
  <r>
    <x v="0"/>
    <n v="62"/>
    <n v="0"/>
    <n v="0"/>
    <n v="0"/>
    <x v="8"/>
    <x v="1"/>
    <x v="2"/>
    <s v="Dhaka"/>
    <x v="0"/>
    <x v="0"/>
    <x v="3"/>
  </r>
  <r>
    <x v="0"/>
    <n v="37"/>
    <n v="0"/>
    <n v="0"/>
    <n v="1"/>
    <x v="22"/>
    <x v="0"/>
    <x v="1"/>
    <s v="Dhaka"/>
    <x v="0"/>
    <x v="0"/>
    <x v="0"/>
  </r>
  <r>
    <x v="0"/>
    <n v="25"/>
    <n v="1"/>
    <n v="1"/>
    <n v="1"/>
    <x v="27"/>
    <x v="1"/>
    <x v="2"/>
    <s v="Dhaka"/>
    <x v="1"/>
    <x v="1"/>
    <x v="2"/>
  </r>
  <r>
    <x v="0"/>
    <n v="64"/>
    <n v="1"/>
    <n v="1"/>
    <n v="0"/>
    <x v="32"/>
    <x v="0"/>
    <x v="2"/>
    <s v="Dhaka"/>
    <x v="1"/>
    <x v="1"/>
    <x v="3"/>
  </r>
  <r>
    <x v="0"/>
    <n v="51"/>
    <n v="1"/>
    <n v="1"/>
    <n v="1"/>
    <x v="15"/>
    <x v="1"/>
    <x v="1"/>
    <s v="Dhaka"/>
    <x v="1"/>
    <x v="1"/>
    <x v="0"/>
  </r>
  <r>
    <x v="0"/>
    <n v="11"/>
    <n v="0"/>
    <n v="0"/>
    <n v="1"/>
    <x v="0"/>
    <x v="0"/>
    <x v="0"/>
    <s v="Dhaka"/>
    <x v="0"/>
    <x v="0"/>
    <x v="4"/>
  </r>
  <r>
    <x v="1"/>
    <n v="20"/>
    <n v="1"/>
    <n v="1"/>
    <n v="1"/>
    <x v="23"/>
    <x v="1"/>
    <x v="0"/>
    <s v="Dhaka"/>
    <x v="1"/>
    <x v="1"/>
    <x v="2"/>
  </r>
  <r>
    <x v="1"/>
    <n v="8"/>
    <n v="0"/>
    <n v="0"/>
    <n v="0"/>
    <x v="29"/>
    <x v="0"/>
    <x v="2"/>
    <s v="Dhaka"/>
    <x v="0"/>
    <x v="0"/>
    <x v="4"/>
  </r>
  <r>
    <x v="1"/>
    <n v="27"/>
    <n v="1"/>
    <n v="1"/>
    <n v="1"/>
    <x v="26"/>
    <x v="1"/>
    <x v="2"/>
    <s v="Dhaka"/>
    <x v="1"/>
    <x v="1"/>
    <x v="2"/>
  </r>
  <r>
    <x v="0"/>
    <n v="44"/>
    <n v="1"/>
    <n v="1"/>
    <n v="1"/>
    <x v="3"/>
    <x v="0"/>
    <x v="0"/>
    <s v="Dhaka"/>
    <x v="1"/>
    <x v="1"/>
    <x v="0"/>
  </r>
  <r>
    <x v="0"/>
    <n v="28"/>
    <n v="1"/>
    <n v="1"/>
    <n v="0"/>
    <x v="5"/>
    <x v="1"/>
    <x v="2"/>
    <s v="Dhaka"/>
    <x v="1"/>
    <x v="1"/>
    <x v="2"/>
  </r>
  <r>
    <x v="1"/>
    <n v="38"/>
    <n v="0"/>
    <n v="0"/>
    <n v="0"/>
    <x v="18"/>
    <x v="0"/>
    <x v="2"/>
    <s v="Dhaka"/>
    <x v="0"/>
    <x v="0"/>
    <x v="0"/>
  </r>
  <r>
    <x v="1"/>
    <n v="27"/>
    <n v="0"/>
    <n v="0"/>
    <n v="0"/>
    <x v="32"/>
    <x v="1"/>
    <x v="2"/>
    <s v="Dhaka"/>
    <x v="0"/>
    <x v="0"/>
    <x v="2"/>
  </r>
  <r>
    <x v="1"/>
    <n v="36"/>
    <n v="1"/>
    <n v="1"/>
    <n v="0"/>
    <x v="31"/>
    <x v="0"/>
    <x v="0"/>
    <s v="Dhaka"/>
    <x v="1"/>
    <x v="1"/>
    <x v="0"/>
  </r>
  <r>
    <x v="0"/>
    <n v="65"/>
    <n v="0"/>
    <n v="0"/>
    <n v="1"/>
    <x v="2"/>
    <x v="1"/>
    <x v="0"/>
    <s v="Dhaka"/>
    <x v="0"/>
    <x v="0"/>
    <x v="3"/>
  </r>
  <r>
    <x v="0"/>
    <n v="38"/>
    <n v="1"/>
    <n v="1"/>
    <n v="0"/>
    <x v="17"/>
    <x v="0"/>
    <x v="1"/>
    <s v="Dhaka"/>
    <x v="1"/>
    <x v="1"/>
    <x v="0"/>
  </r>
  <r>
    <x v="0"/>
    <n v="42"/>
    <n v="1"/>
    <n v="1"/>
    <n v="0"/>
    <x v="7"/>
    <x v="1"/>
    <x v="0"/>
    <s v="Dhaka"/>
    <x v="1"/>
    <x v="1"/>
    <x v="0"/>
  </r>
  <r>
    <x v="1"/>
    <n v="10"/>
    <n v="1"/>
    <n v="1"/>
    <n v="1"/>
    <x v="30"/>
    <x v="0"/>
    <x v="0"/>
    <s v="Dhaka"/>
    <x v="1"/>
    <x v="1"/>
    <x v="4"/>
  </r>
  <r>
    <x v="1"/>
    <n v="44"/>
    <n v="0"/>
    <n v="0"/>
    <n v="0"/>
    <x v="24"/>
    <x v="1"/>
    <x v="2"/>
    <s v="Dhaka"/>
    <x v="0"/>
    <x v="0"/>
    <x v="0"/>
  </r>
  <r>
    <x v="1"/>
    <n v="19"/>
    <n v="1"/>
    <n v="1"/>
    <n v="1"/>
    <x v="20"/>
    <x v="0"/>
    <x v="1"/>
    <s v="Dhaka"/>
    <x v="1"/>
    <x v="1"/>
    <x v="2"/>
  </r>
  <r>
    <x v="1"/>
    <n v="18"/>
    <n v="1"/>
    <n v="1"/>
    <n v="1"/>
    <x v="18"/>
    <x v="1"/>
    <x v="1"/>
    <s v="Dhaka"/>
    <x v="1"/>
    <x v="1"/>
    <x v="1"/>
  </r>
  <r>
    <x v="1"/>
    <n v="29"/>
    <n v="0"/>
    <n v="0"/>
    <n v="1"/>
    <x v="33"/>
    <x v="0"/>
    <x v="1"/>
    <s v="Dhaka"/>
    <x v="0"/>
    <x v="0"/>
    <x v="2"/>
  </r>
  <r>
    <x v="1"/>
    <n v="58"/>
    <n v="1"/>
    <n v="1"/>
    <n v="1"/>
    <x v="31"/>
    <x v="1"/>
    <x v="1"/>
    <s v="Dhaka"/>
    <x v="1"/>
    <x v="1"/>
    <x v="0"/>
  </r>
  <r>
    <x v="0"/>
    <n v="45"/>
    <n v="1"/>
    <n v="1"/>
    <n v="1"/>
    <x v="10"/>
    <x v="0"/>
    <x v="1"/>
    <s v="Dhaka"/>
    <x v="1"/>
    <x v="1"/>
    <x v="0"/>
  </r>
  <r>
    <x v="0"/>
    <n v="40"/>
    <n v="1"/>
    <n v="1"/>
    <n v="0"/>
    <x v="33"/>
    <x v="1"/>
    <x v="1"/>
    <s v="Dhaka"/>
    <x v="1"/>
    <x v="1"/>
    <x v="0"/>
  </r>
  <r>
    <x v="0"/>
    <n v="20"/>
    <n v="0"/>
    <n v="0"/>
    <n v="0"/>
    <x v="20"/>
    <x v="0"/>
    <x v="0"/>
    <s v="Dhaka"/>
    <x v="0"/>
    <x v="0"/>
    <x v="2"/>
  </r>
  <r>
    <x v="1"/>
    <n v="41"/>
    <n v="0"/>
    <n v="0"/>
    <n v="0"/>
    <x v="16"/>
    <x v="1"/>
    <x v="0"/>
    <s v="Dhaka"/>
    <x v="0"/>
    <x v="0"/>
    <x v="0"/>
  </r>
  <r>
    <x v="1"/>
    <n v="23"/>
    <n v="1"/>
    <n v="1"/>
    <n v="0"/>
    <x v="20"/>
    <x v="0"/>
    <x v="0"/>
    <s v="Dhaka"/>
    <x v="1"/>
    <x v="1"/>
    <x v="2"/>
  </r>
  <r>
    <x v="1"/>
    <n v="29"/>
    <n v="0"/>
    <n v="0"/>
    <n v="0"/>
    <x v="34"/>
    <x v="1"/>
    <x v="0"/>
    <s v="Dhaka"/>
    <x v="0"/>
    <x v="0"/>
    <x v="2"/>
  </r>
  <r>
    <x v="1"/>
    <n v="48"/>
    <n v="1"/>
    <n v="1"/>
    <n v="1"/>
    <x v="19"/>
    <x v="0"/>
    <x v="0"/>
    <s v="Dhaka"/>
    <x v="1"/>
    <x v="1"/>
    <x v="0"/>
  </r>
  <r>
    <x v="0"/>
    <n v="17"/>
    <n v="0"/>
    <n v="0"/>
    <n v="0"/>
    <x v="32"/>
    <x v="1"/>
    <x v="0"/>
    <s v="Dhaka"/>
    <x v="0"/>
    <x v="0"/>
    <x v="1"/>
  </r>
  <r>
    <x v="0"/>
    <n v="62"/>
    <n v="0"/>
    <n v="0"/>
    <n v="0"/>
    <x v="3"/>
    <x v="0"/>
    <x v="2"/>
    <s v="Dhaka"/>
    <x v="0"/>
    <x v="0"/>
    <x v="3"/>
  </r>
  <r>
    <x v="0"/>
    <n v="34"/>
    <n v="1"/>
    <n v="1"/>
    <n v="0"/>
    <x v="3"/>
    <x v="1"/>
    <x v="2"/>
    <s v="Dhaka"/>
    <x v="1"/>
    <x v="1"/>
    <x v="2"/>
  </r>
  <r>
    <x v="0"/>
    <n v="8"/>
    <n v="1"/>
    <n v="1"/>
    <n v="0"/>
    <x v="2"/>
    <x v="0"/>
    <x v="2"/>
    <s v="Dhaka"/>
    <x v="1"/>
    <x v="1"/>
    <x v="4"/>
  </r>
  <r>
    <x v="1"/>
    <n v="22"/>
    <n v="0"/>
    <n v="0"/>
    <n v="0"/>
    <x v="4"/>
    <x v="1"/>
    <x v="0"/>
    <s v="Dhaka"/>
    <x v="0"/>
    <x v="0"/>
    <x v="2"/>
  </r>
  <r>
    <x v="1"/>
    <n v="23"/>
    <n v="0"/>
    <n v="0"/>
    <n v="1"/>
    <x v="29"/>
    <x v="0"/>
    <x v="1"/>
    <s v="Dhaka"/>
    <x v="0"/>
    <x v="0"/>
    <x v="2"/>
  </r>
  <r>
    <x v="1"/>
    <n v="47"/>
    <n v="0"/>
    <n v="0"/>
    <n v="0"/>
    <x v="12"/>
    <x v="1"/>
    <x v="2"/>
    <s v="Dhaka"/>
    <x v="0"/>
    <x v="0"/>
    <x v="0"/>
  </r>
  <r>
    <x v="1"/>
    <n v="50"/>
    <n v="0"/>
    <n v="0"/>
    <n v="1"/>
    <x v="33"/>
    <x v="0"/>
    <x v="2"/>
    <s v="Dhaka"/>
    <x v="0"/>
    <x v="0"/>
    <x v="0"/>
  </r>
  <r>
    <x v="1"/>
    <n v="15"/>
    <n v="0"/>
    <n v="0"/>
    <n v="0"/>
    <x v="26"/>
    <x v="1"/>
    <x v="0"/>
    <s v="Dhaka"/>
    <x v="0"/>
    <x v="0"/>
    <x v="1"/>
  </r>
  <r>
    <x v="1"/>
    <n v="11"/>
    <n v="1"/>
    <n v="1"/>
    <n v="0"/>
    <x v="32"/>
    <x v="0"/>
    <x v="2"/>
    <s v="Dhaka"/>
    <x v="1"/>
    <x v="1"/>
    <x v="4"/>
  </r>
  <r>
    <x v="0"/>
    <n v="46"/>
    <n v="1"/>
    <n v="1"/>
    <n v="0"/>
    <x v="14"/>
    <x v="1"/>
    <x v="0"/>
    <s v="Dhaka"/>
    <x v="1"/>
    <x v="1"/>
    <x v="0"/>
  </r>
  <r>
    <x v="0"/>
    <n v="52"/>
    <n v="1"/>
    <n v="1"/>
    <n v="0"/>
    <x v="21"/>
    <x v="0"/>
    <x v="2"/>
    <s v="Dhaka"/>
    <x v="1"/>
    <x v="1"/>
    <x v="0"/>
  </r>
  <r>
    <x v="1"/>
    <n v="44"/>
    <n v="0"/>
    <n v="0"/>
    <n v="1"/>
    <x v="24"/>
    <x v="1"/>
    <x v="2"/>
    <s v="Dhaka"/>
    <x v="0"/>
    <x v="0"/>
    <x v="0"/>
  </r>
  <r>
    <x v="1"/>
    <n v="12"/>
    <n v="0"/>
    <n v="0"/>
    <n v="1"/>
    <x v="21"/>
    <x v="0"/>
    <x v="1"/>
    <s v="Dhaka"/>
    <x v="0"/>
    <x v="0"/>
    <x v="4"/>
  </r>
  <r>
    <x v="0"/>
    <n v="30"/>
    <n v="0"/>
    <n v="0"/>
    <n v="0"/>
    <x v="5"/>
    <x v="1"/>
    <x v="0"/>
    <s v="Dhaka"/>
    <x v="0"/>
    <x v="0"/>
    <x v="2"/>
  </r>
  <r>
    <x v="1"/>
    <n v="41"/>
    <n v="0"/>
    <n v="0"/>
    <n v="0"/>
    <x v="9"/>
    <x v="0"/>
    <x v="1"/>
    <s v="Dhaka"/>
    <x v="0"/>
    <x v="0"/>
    <x v="0"/>
  </r>
  <r>
    <x v="1"/>
    <n v="62"/>
    <n v="1"/>
    <n v="1"/>
    <n v="0"/>
    <x v="5"/>
    <x v="1"/>
    <x v="2"/>
    <s v="Dhaka"/>
    <x v="1"/>
    <x v="1"/>
    <x v="3"/>
  </r>
  <r>
    <x v="1"/>
    <n v="42"/>
    <n v="1"/>
    <n v="1"/>
    <n v="0"/>
    <x v="28"/>
    <x v="0"/>
    <x v="1"/>
    <s v="Dhaka"/>
    <x v="1"/>
    <x v="1"/>
    <x v="0"/>
  </r>
  <r>
    <x v="0"/>
    <n v="38"/>
    <n v="1"/>
    <n v="1"/>
    <n v="0"/>
    <x v="5"/>
    <x v="1"/>
    <x v="0"/>
    <s v="Dhaka"/>
    <x v="1"/>
    <x v="1"/>
    <x v="0"/>
  </r>
  <r>
    <x v="1"/>
    <n v="46"/>
    <n v="0"/>
    <n v="0"/>
    <n v="0"/>
    <x v="29"/>
    <x v="0"/>
    <x v="2"/>
    <s v="Dhaka"/>
    <x v="0"/>
    <x v="0"/>
    <x v="0"/>
  </r>
  <r>
    <x v="1"/>
    <n v="44"/>
    <n v="0"/>
    <n v="0"/>
    <n v="0"/>
    <x v="26"/>
    <x v="1"/>
    <x v="1"/>
    <s v="Dhaka"/>
    <x v="0"/>
    <x v="0"/>
    <x v="0"/>
  </r>
  <r>
    <x v="0"/>
    <n v="48"/>
    <n v="1"/>
    <n v="1"/>
    <n v="0"/>
    <x v="10"/>
    <x v="0"/>
    <x v="1"/>
    <s v="Dhaka"/>
    <x v="1"/>
    <x v="1"/>
    <x v="0"/>
  </r>
  <r>
    <x v="1"/>
    <n v="42"/>
    <n v="0"/>
    <n v="0"/>
    <n v="1"/>
    <x v="15"/>
    <x v="1"/>
    <x v="0"/>
    <s v="Dhaka"/>
    <x v="0"/>
    <x v="0"/>
    <x v="0"/>
  </r>
  <r>
    <x v="1"/>
    <n v="41"/>
    <n v="1"/>
    <n v="1"/>
    <n v="0"/>
    <x v="0"/>
    <x v="0"/>
    <x v="2"/>
    <s v="Dhaka"/>
    <x v="1"/>
    <x v="1"/>
    <x v="0"/>
  </r>
  <r>
    <x v="1"/>
    <n v="15"/>
    <n v="0"/>
    <n v="0"/>
    <n v="0"/>
    <x v="27"/>
    <x v="1"/>
    <x v="2"/>
    <s v="Dhaka"/>
    <x v="0"/>
    <x v="0"/>
    <x v="1"/>
  </r>
  <r>
    <x v="1"/>
    <n v="15"/>
    <n v="1"/>
    <n v="1"/>
    <n v="1"/>
    <x v="14"/>
    <x v="0"/>
    <x v="1"/>
    <s v="Dhaka"/>
    <x v="1"/>
    <x v="1"/>
    <x v="1"/>
  </r>
  <r>
    <x v="1"/>
    <n v="64"/>
    <n v="0"/>
    <n v="0"/>
    <n v="1"/>
    <x v="14"/>
    <x v="1"/>
    <x v="0"/>
    <s v="Dhaka"/>
    <x v="0"/>
    <x v="0"/>
    <x v="3"/>
  </r>
  <r>
    <x v="1"/>
    <n v="16"/>
    <n v="1"/>
    <n v="1"/>
    <n v="0"/>
    <x v="33"/>
    <x v="0"/>
    <x v="0"/>
    <s v="Dhaka"/>
    <x v="1"/>
    <x v="1"/>
    <x v="1"/>
  </r>
  <r>
    <x v="1"/>
    <n v="19"/>
    <n v="1"/>
    <n v="1"/>
    <n v="0"/>
    <x v="17"/>
    <x v="1"/>
    <x v="0"/>
    <s v="Dhaka"/>
    <x v="1"/>
    <x v="1"/>
    <x v="2"/>
  </r>
  <r>
    <x v="1"/>
    <n v="56"/>
    <n v="0"/>
    <n v="0"/>
    <n v="0"/>
    <x v="34"/>
    <x v="0"/>
    <x v="0"/>
    <s v="Dhaka"/>
    <x v="0"/>
    <x v="0"/>
    <x v="0"/>
  </r>
  <r>
    <x v="0"/>
    <n v="65"/>
    <n v="1"/>
    <n v="1"/>
    <n v="1"/>
    <x v="26"/>
    <x v="1"/>
    <x v="2"/>
    <s v="Dhaka"/>
    <x v="1"/>
    <x v="1"/>
    <x v="3"/>
  </r>
  <r>
    <x v="1"/>
    <n v="57"/>
    <n v="1"/>
    <n v="1"/>
    <n v="1"/>
    <x v="34"/>
    <x v="0"/>
    <x v="2"/>
    <s v="Dhaka"/>
    <x v="1"/>
    <x v="1"/>
    <x v="0"/>
  </r>
  <r>
    <x v="1"/>
    <n v="24"/>
    <n v="0"/>
    <n v="0"/>
    <n v="0"/>
    <x v="4"/>
    <x v="1"/>
    <x v="2"/>
    <s v="Dhaka"/>
    <x v="0"/>
    <x v="0"/>
    <x v="2"/>
  </r>
  <r>
    <x v="1"/>
    <n v="38"/>
    <n v="0"/>
    <n v="0"/>
    <n v="1"/>
    <x v="34"/>
    <x v="0"/>
    <x v="1"/>
    <s v="Dhaka"/>
    <x v="0"/>
    <x v="0"/>
    <x v="0"/>
  </r>
  <r>
    <x v="0"/>
    <n v="39"/>
    <n v="0"/>
    <n v="0"/>
    <n v="1"/>
    <x v="12"/>
    <x v="1"/>
    <x v="2"/>
    <s v="Dhaka"/>
    <x v="0"/>
    <x v="0"/>
    <x v="0"/>
  </r>
  <r>
    <x v="0"/>
    <n v="64"/>
    <n v="0"/>
    <n v="0"/>
    <n v="0"/>
    <x v="27"/>
    <x v="0"/>
    <x v="2"/>
    <s v="Dhaka"/>
    <x v="0"/>
    <x v="0"/>
    <x v="3"/>
  </r>
  <r>
    <x v="1"/>
    <n v="39"/>
    <n v="1"/>
    <n v="1"/>
    <n v="1"/>
    <x v="3"/>
    <x v="1"/>
    <x v="0"/>
    <s v="Dhaka"/>
    <x v="1"/>
    <x v="1"/>
    <x v="0"/>
  </r>
  <r>
    <x v="1"/>
    <n v="33"/>
    <n v="1"/>
    <n v="1"/>
    <n v="0"/>
    <x v="16"/>
    <x v="0"/>
    <x v="1"/>
    <s v="Dhaka"/>
    <x v="1"/>
    <x v="1"/>
    <x v="2"/>
  </r>
  <r>
    <x v="1"/>
    <n v="49"/>
    <n v="1"/>
    <n v="1"/>
    <n v="0"/>
    <x v="3"/>
    <x v="1"/>
    <x v="0"/>
    <s v="Dhaka"/>
    <x v="1"/>
    <x v="1"/>
    <x v="0"/>
  </r>
  <r>
    <x v="0"/>
    <n v="22"/>
    <n v="1"/>
    <n v="1"/>
    <n v="1"/>
    <x v="21"/>
    <x v="0"/>
    <x v="2"/>
    <s v="Dhaka"/>
    <x v="1"/>
    <x v="1"/>
    <x v="2"/>
  </r>
  <r>
    <x v="0"/>
    <n v="29"/>
    <n v="0"/>
    <n v="0"/>
    <n v="0"/>
    <x v="17"/>
    <x v="1"/>
    <x v="0"/>
    <s v="Dhaka"/>
    <x v="0"/>
    <x v="0"/>
    <x v="2"/>
  </r>
  <r>
    <x v="0"/>
    <n v="22"/>
    <n v="1"/>
    <n v="1"/>
    <n v="0"/>
    <x v="8"/>
    <x v="0"/>
    <x v="0"/>
    <s v="Dhaka"/>
    <x v="1"/>
    <x v="1"/>
    <x v="2"/>
  </r>
  <r>
    <x v="0"/>
    <n v="13"/>
    <n v="1"/>
    <n v="1"/>
    <n v="0"/>
    <x v="29"/>
    <x v="1"/>
    <x v="1"/>
    <s v="Dhaka"/>
    <x v="1"/>
    <x v="1"/>
    <x v="1"/>
  </r>
  <r>
    <x v="0"/>
    <n v="11"/>
    <n v="1"/>
    <n v="1"/>
    <n v="0"/>
    <x v="32"/>
    <x v="0"/>
    <x v="0"/>
    <s v="Dhaka"/>
    <x v="1"/>
    <x v="1"/>
    <x v="4"/>
  </r>
  <r>
    <x v="1"/>
    <n v="41"/>
    <n v="1"/>
    <n v="1"/>
    <n v="1"/>
    <x v="31"/>
    <x v="1"/>
    <x v="0"/>
    <s v="Dhaka"/>
    <x v="1"/>
    <x v="1"/>
    <x v="0"/>
  </r>
  <r>
    <x v="1"/>
    <n v="61"/>
    <n v="1"/>
    <n v="1"/>
    <n v="1"/>
    <x v="23"/>
    <x v="0"/>
    <x v="1"/>
    <s v="Dhaka"/>
    <x v="1"/>
    <x v="1"/>
    <x v="3"/>
  </r>
  <r>
    <x v="1"/>
    <n v="60"/>
    <n v="0"/>
    <n v="0"/>
    <n v="1"/>
    <x v="0"/>
    <x v="1"/>
    <x v="2"/>
    <s v="Dhaka"/>
    <x v="0"/>
    <x v="0"/>
    <x v="0"/>
  </r>
  <r>
    <x v="0"/>
    <n v="21"/>
    <n v="1"/>
    <n v="1"/>
    <n v="0"/>
    <x v="0"/>
    <x v="0"/>
    <x v="0"/>
    <s v="Dhaka"/>
    <x v="1"/>
    <x v="1"/>
    <x v="2"/>
  </r>
  <r>
    <x v="0"/>
    <n v="25"/>
    <n v="1"/>
    <n v="1"/>
    <n v="1"/>
    <x v="17"/>
    <x v="1"/>
    <x v="2"/>
    <s v="Dhaka"/>
    <x v="1"/>
    <x v="1"/>
    <x v="2"/>
  </r>
  <r>
    <x v="0"/>
    <n v="57"/>
    <n v="1"/>
    <n v="1"/>
    <n v="0"/>
    <x v="25"/>
    <x v="0"/>
    <x v="2"/>
    <s v="Dhaka"/>
    <x v="1"/>
    <x v="1"/>
    <x v="0"/>
  </r>
  <r>
    <x v="1"/>
    <n v="22"/>
    <n v="1"/>
    <n v="1"/>
    <n v="1"/>
    <x v="5"/>
    <x v="1"/>
    <x v="0"/>
    <s v="Dhaka"/>
    <x v="1"/>
    <x v="1"/>
    <x v="2"/>
  </r>
  <r>
    <x v="1"/>
    <n v="9"/>
    <n v="1"/>
    <n v="1"/>
    <n v="0"/>
    <x v="10"/>
    <x v="0"/>
    <x v="1"/>
    <s v="Dhaka"/>
    <x v="1"/>
    <x v="1"/>
    <x v="4"/>
  </r>
  <r>
    <x v="1"/>
    <n v="56"/>
    <n v="0"/>
    <n v="0"/>
    <n v="1"/>
    <x v="32"/>
    <x v="1"/>
    <x v="1"/>
    <s v="Dhaka"/>
    <x v="0"/>
    <x v="0"/>
    <x v="0"/>
  </r>
  <r>
    <x v="0"/>
    <n v="44"/>
    <n v="1"/>
    <n v="1"/>
    <n v="0"/>
    <x v="29"/>
    <x v="0"/>
    <x v="0"/>
    <s v="Dhaka"/>
    <x v="1"/>
    <x v="1"/>
    <x v="0"/>
  </r>
  <r>
    <x v="0"/>
    <n v="59"/>
    <n v="1"/>
    <n v="1"/>
    <n v="0"/>
    <x v="14"/>
    <x v="1"/>
    <x v="0"/>
    <s v="Dhaka"/>
    <x v="1"/>
    <x v="1"/>
    <x v="0"/>
  </r>
  <r>
    <x v="0"/>
    <n v="40"/>
    <n v="0"/>
    <n v="0"/>
    <n v="0"/>
    <x v="33"/>
    <x v="0"/>
    <x v="0"/>
    <s v="Dhaka"/>
    <x v="0"/>
    <x v="0"/>
    <x v="0"/>
  </r>
  <r>
    <x v="0"/>
    <n v="64"/>
    <n v="1"/>
    <n v="1"/>
    <n v="0"/>
    <x v="15"/>
    <x v="1"/>
    <x v="2"/>
    <s v="Dhaka"/>
    <x v="1"/>
    <x v="1"/>
    <x v="3"/>
  </r>
  <r>
    <x v="1"/>
    <n v="62"/>
    <n v="1"/>
    <n v="1"/>
    <n v="0"/>
    <x v="25"/>
    <x v="0"/>
    <x v="1"/>
    <s v="Dhaka"/>
    <x v="1"/>
    <x v="1"/>
    <x v="3"/>
  </r>
  <r>
    <x v="0"/>
    <n v="40"/>
    <n v="1"/>
    <n v="1"/>
    <n v="1"/>
    <x v="4"/>
    <x v="1"/>
    <x v="0"/>
    <s v="Dhaka"/>
    <x v="1"/>
    <x v="1"/>
    <x v="0"/>
  </r>
  <r>
    <x v="0"/>
    <n v="26"/>
    <n v="1"/>
    <n v="1"/>
    <n v="1"/>
    <x v="24"/>
    <x v="0"/>
    <x v="2"/>
    <s v="Dhaka"/>
    <x v="1"/>
    <x v="1"/>
    <x v="2"/>
  </r>
  <r>
    <x v="1"/>
    <n v="47"/>
    <n v="1"/>
    <n v="1"/>
    <n v="1"/>
    <x v="19"/>
    <x v="1"/>
    <x v="0"/>
    <s v="Dhaka"/>
    <x v="1"/>
    <x v="1"/>
    <x v="0"/>
  </r>
  <r>
    <x v="1"/>
    <n v="56"/>
    <n v="0"/>
    <n v="0"/>
    <n v="0"/>
    <x v="21"/>
    <x v="0"/>
    <x v="1"/>
    <s v="Dhaka"/>
    <x v="0"/>
    <x v="0"/>
    <x v="0"/>
  </r>
  <r>
    <x v="0"/>
    <n v="19"/>
    <n v="1"/>
    <n v="1"/>
    <n v="1"/>
    <x v="31"/>
    <x v="1"/>
    <x v="1"/>
    <s v="Dhaka"/>
    <x v="1"/>
    <x v="1"/>
    <x v="2"/>
  </r>
  <r>
    <x v="1"/>
    <n v="17"/>
    <n v="0"/>
    <n v="0"/>
    <n v="1"/>
    <x v="3"/>
    <x v="0"/>
    <x v="0"/>
    <s v="Dhaka"/>
    <x v="0"/>
    <x v="0"/>
    <x v="1"/>
  </r>
  <r>
    <x v="0"/>
    <n v="57"/>
    <n v="1"/>
    <n v="1"/>
    <n v="0"/>
    <x v="18"/>
    <x v="1"/>
    <x v="0"/>
    <s v="Dhaka"/>
    <x v="1"/>
    <x v="1"/>
    <x v="0"/>
  </r>
  <r>
    <x v="1"/>
    <n v="47"/>
    <n v="1"/>
    <n v="1"/>
    <n v="1"/>
    <x v="8"/>
    <x v="0"/>
    <x v="2"/>
    <s v="Dhaka"/>
    <x v="1"/>
    <x v="1"/>
    <x v="0"/>
  </r>
  <r>
    <x v="1"/>
    <n v="44"/>
    <n v="1"/>
    <n v="1"/>
    <n v="0"/>
    <x v="15"/>
    <x v="1"/>
    <x v="0"/>
    <s v="Dhaka"/>
    <x v="1"/>
    <x v="1"/>
    <x v="0"/>
  </r>
  <r>
    <x v="0"/>
    <n v="18"/>
    <n v="0"/>
    <n v="0"/>
    <n v="0"/>
    <x v="2"/>
    <x v="0"/>
    <x v="0"/>
    <s v="Dhaka"/>
    <x v="0"/>
    <x v="0"/>
    <x v="1"/>
  </r>
  <r>
    <x v="1"/>
    <n v="44"/>
    <n v="1"/>
    <n v="1"/>
    <n v="0"/>
    <x v="26"/>
    <x v="1"/>
    <x v="2"/>
    <s v="Dhaka"/>
    <x v="1"/>
    <x v="1"/>
    <x v="0"/>
  </r>
  <r>
    <x v="0"/>
    <n v="20"/>
    <n v="1"/>
    <n v="1"/>
    <n v="1"/>
    <x v="34"/>
    <x v="0"/>
    <x v="0"/>
    <s v="Dhaka"/>
    <x v="1"/>
    <x v="1"/>
    <x v="2"/>
  </r>
  <r>
    <x v="0"/>
    <n v="60"/>
    <n v="0"/>
    <n v="0"/>
    <n v="1"/>
    <x v="22"/>
    <x v="1"/>
    <x v="1"/>
    <s v="Dhaka"/>
    <x v="0"/>
    <x v="0"/>
    <x v="0"/>
  </r>
  <r>
    <x v="1"/>
    <n v="61"/>
    <n v="0"/>
    <n v="0"/>
    <n v="0"/>
    <x v="29"/>
    <x v="0"/>
    <x v="1"/>
    <s v="Dhaka"/>
    <x v="0"/>
    <x v="0"/>
    <x v="3"/>
  </r>
  <r>
    <x v="0"/>
    <n v="47"/>
    <n v="0"/>
    <n v="0"/>
    <n v="0"/>
    <x v="19"/>
    <x v="1"/>
    <x v="1"/>
    <s v="Dhaka"/>
    <x v="0"/>
    <x v="0"/>
    <x v="0"/>
  </r>
  <r>
    <x v="0"/>
    <n v="15"/>
    <n v="1"/>
    <n v="1"/>
    <n v="1"/>
    <x v="9"/>
    <x v="0"/>
    <x v="2"/>
    <s v="Dhaka"/>
    <x v="1"/>
    <x v="1"/>
    <x v="1"/>
  </r>
  <r>
    <x v="1"/>
    <n v="58"/>
    <n v="0"/>
    <n v="0"/>
    <n v="1"/>
    <x v="17"/>
    <x v="1"/>
    <x v="1"/>
    <s v="Dhaka"/>
    <x v="0"/>
    <x v="0"/>
    <x v="0"/>
  </r>
  <r>
    <x v="1"/>
    <n v="64"/>
    <n v="0"/>
    <n v="0"/>
    <n v="0"/>
    <x v="17"/>
    <x v="0"/>
    <x v="0"/>
    <s v="Dhaka"/>
    <x v="0"/>
    <x v="0"/>
    <x v="3"/>
  </r>
  <r>
    <x v="0"/>
    <n v="50"/>
    <n v="1"/>
    <n v="1"/>
    <n v="1"/>
    <x v="20"/>
    <x v="1"/>
    <x v="2"/>
    <s v="Dhaka"/>
    <x v="1"/>
    <x v="1"/>
    <x v="0"/>
  </r>
  <r>
    <x v="0"/>
    <n v="52"/>
    <n v="1"/>
    <n v="1"/>
    <n v="1"/>
    <x v="21"/>
    <x v="0"/>
    <x v="0"/>
    <s v="Dhaka"/>
    <x v="1"/>
    <x v="1"/>
    <x v="0"/>
  </r>
  <r>
    <x v="1"/>
    <n v="59"/>
    <n v="1"/>
    <n v="1"/>
    <n v="0"/>
    <x v="4"/>
    <x v="1"/>
    <x v="2"/>
    <s v="Dhaka"/>
    <x v="1"/>
    <x v="1"/>
    <x v="0"/>
  </r>
  <r>
    <x v="0"/>
    <n v="51"/>
    <n v="0"/>
    <n v="0"/>
    <n v="1"/>
    <x v="26"/>
    <x v="0"/>
    <x v="0"/>
    <s v="Dhaka"/>
    <x v="0"/>
    <x v="0"/>
    <x v="0"/>
  </r>
  <r>
    <x v="1"/>
    <n v="16"/>
    <n v="0"/>
    <n v="0"/>
    <n v="1"/>
    <x v="10"/>
    <x v="1"/>
    <x v="0"/>
    <s v="Dhaka"/>
    <x v="0"/>
    <x v="0"/>
    <x v="1"/>
  </r>
  <r>
    <x v="0"/>
    <n v="20"/>
    <n v="0"/>
    <n v="0"/>
    <n v="1"/>
    <x v="11"/>
    <x v="0"/>
    <x v="0"/>
    <s v="Dhaka"/>
    <x v="0"/>
    <x v="0"/>
    <x v="2"/>
  </r>
  <r>
    <x v="1"/>
    <n v="48"/>
    <n v="1"/>
    <n v="1"/>
    <n v="1"/>
    <x v="8"/>
    <x v="1"/>
    <x v="2"/>
    <s v="Dhaka"/>
    <x v="1"/>
    <x v="1"/>
    <x v="0"/>
  </r>
  <r>
    <x v="1"/>
    <n v="31"/>
    <n v="0"/>
    <n v="0"/>
    <n v="0"/>
    <x v="6"/>
    <x v="0"/>
    <x v="2"/>
    <s v="Dhaka"/>
    <x v="0"/>
    <x v="0"/>
    <x v="2"/>
  </r>
  <r>
    <x v="1"/>
    <n v="53"/>
    <n v="1"/>
    <n v="1"/>
    <n v="1"/>
    <x v="15"/>
    <x v="1"/>
    <x v="1"/>
    <s v="Dhaka"/>
    <x v="1"/>
    <x v="1"/>
    <x v="0"/>
  </r>
  <r>
    <x v="0"/>
    <n v="42"/>
    <n v="1"/>
    <n v="1"/>
    <n v="0"/>
    <x v="9"/>
    <x v="0"/>
    <x v="0"/>
    <s v="Dhaka"/>
    <x v="1"/>
    <x v="1"/>
    <x v="0"/>
  </r>
  <r>
    <x v="0"/>
    <n v="9"/>
    <n v="1"/>
    <n v="1"/>
    <n v="1"/>
    <x v="35"/>
    <x v="1"/>
    <x v="0"/>
    <s v="Dhaka"/>
    <x v="1"/>
    <x v="1"/>
    <x v="4"/>
  </r>
  <r>
    <x v="0"/>
    <n v="8"/>
    <n v="1"/>
    <n v="1"/>
    <n v="1"/>
    <x v="5"/>
    <x v="0"/>
    <x v="1"/>
    <s v="Dhaka"/>
    <x v="1"/>
    <x v="1"/>
    <x v="4"/>
  </r>
  <r>
    <x v="0"/>
    <n v="17"/>
    <n v="0"/>
    <n v="0"/>
    <n v="1"/>
    <x v="5"/>
    <x v="1"/>
    <x v="0"/>
    <s v="Dhaka"/>
    <x v="0"/>
    <x v="0"/>
    <x v="1"/>
  </r>
  <r>
    <x v="0"/>
    <n v="16"/>
    <n v="1"/>
    <n v="1"/>
    <n v="0"/>
    <x v="6"/>
    <x v="0"/>
    <x v="2"/>
    <s v="Dhaka"/>
    <x v="1"/>
    <x v="1"/>
    <x v="1"/>
  </r>
  <r>
    <x v="0"/>
    <n v="15"/>
    <n v="1"/>
    <n v="1"/>
    <n v="1"/>
    <x v="27"/>
    <x v="1"/>
    <x v="1"/>
    <s v="Dhaka"/>
    <x v="1"/>
    <x v="1"/>
    <x v="1"/>
  </r>
  <r>
    <x v="0"/>
    <n v="63"/>
    <n v="0"/>
    <n v="0"/>
    <n v="1"/>
    <x v="3"/>
    <x v="0"/>
    <x v="0"/>
    <s v="Dhaka"/>
    <x v="0"/>
    <x v="0"/>
    <x v="3"/>
  </r>
  <r>
    <x v="1"/>
    <n v="35"/>
    <n v="1"/>
    <n v="1"/>
    <n v="1"/>
    <x v="26"/>
    <x v="1"/>
    <x v="1"/>
    <s v="Dhaka"/>
    <x v="1"/>
    <x v="1"/>
    <x v="2"/>
  </r>
  <r>
    <x v="1"/>
    <n v="51"/>
    <n v="0"/>
    <n v="0"/>
    <n v="0"/>
    <x v="26"/>
    <x v="0"/>
    <x v="0"/>
    <s v="Dhaka"/>
    <x v="0"/>
    <x v="0"/>
    <x v="0"/>
  </r>
  <r>
    <x v="1"/>
    <n v="33"/>
    <n v="0"/>
    <n v="0"/>
    <n v="0"/>
    <x v="12"/>
    <x v="1"/>
    <x v="1"/>
    <s v="Dhaka"/>
    <x v="0"/>
    <x v="0"/>
    <x v="2"/>
  </r>
  <r>
    <x v="0"/>
    <n v="17"/>
    <n v="1"/>
    <n v="1"/>
    <n v="1"/>
    <x v="32"/>
    <x v="0"/>
    <x v="1"/>
    <s v="Dhaka"/>
    <x v="1"/>
    <x v="1"/>
    <x v="1"/>
  </r>
  <r>
    <x v="0"/>
    <n v="50"/>
    <n v="0"/>
    <n v="0"/>
    <n v="1"/>
    <x v="25"/>
    <x v="1"/>
    <x v="0"/>
    <s v="Dhaka"/>
    <x v="0"/>
    <x v="0"/>
    <x v="0"/>
  </r>
  <r>
    <x v="0"/>
    <n v="34"/>
    <n v="1"/>
    <n v="1"/>
    <n v="1"/>
    <x v="28"/>
    <x v="0"/>
    <x v="0"/>
    <s v="Dhaka"/>
    <x v="1"/>
    <x v="1"/>
    <x v="2"/>
  </r>
  <r>
    <x v="0"/>
    <n v="26"/>
    <n v="1"/>
    <n v="1"/>
    <n v="1"/>
    <x v="21"/>
    <x v="1"/>
    <x v="2"/>
    <s v="Dhaka"/>
    <x v="1"/>
    <x v="1"/>
    <x v="2"/>
  </r>
  <r>
    <x v="0"/>
    <n v="25"/>
    <n v="0"/>
    <n v="0"/>
    <n v="1"/>
    <x v="30"/>
    <x v="0"/>
    <x v="1"/>
    <s v="Dhaka"/>
    <x v="0"/>
    <x v="0"/>
    <x v="2"/>
  </r>
  <r>
    <x v="1"/>
    <n v="58"/>
    <n v="0"/>
    <n v="0"/>
    <n v="0"/>
    <x v="5"/>
    <x v="1"/>
    <x v="2"/>
    <s v="Dhaka"/>
    <x v="0"/>
    <x v="0"/>
    <x v="0"/>
  </r>
  <r>
    <x v="0"/>
    <n v="29"/>
    <n v="1"/>
    <n v="1"/>
    <n v="1"/>
    <x v="22"/>
    <x v="0"/>
    <x v="1"/>
    <s v="Dhaka"/>
    <x v="1"/>
    <x v="1"/>
    <x v="2"/>
  </r>
  <r>
    <x v="1"/>
    <n v="38"/>
    <n v="0"/>
    <n v="0"/>
    <n v="0"/>
    <x v="27"/>
    <x v="1"/>
    <x v="2"/>
    <s v="Dhaka"/>
    <x v="0"/>
    <x v="0"/>
    <x v="0"/>
  </r>
  <r>
    <x v="0"/>
    <n v="17"/>
    <n v="1"/>
    <n v="1"/>
    <n v="0"/>
    <x v="26"/>
    <x v="0"/>
    <x v="0"/>
    <s v="Dhaka"/>
    <x v="1"/>
    <x v="1"/>
    <x v="1"/>
  </r>
  <r>
    <x v="0"/>
    <n v="59"/>
    <n v="0"/>
    <n v="0"/>
    <n v="1"/>
    <x v="3"/>
    <x v="1"/>
    <x v="0"/>
    <s v="Dhaka"/>
    <x v="0"/>
    <x v="0"/>
    <x v="0"/>
  </r>
  <r>
    <x v="0"/>
    <n v="22"/>
    <n v="0"/>
    <n v="0"/>
    <n v="1"/>
    <x v="19"/>
    <x v="0"/>
    <x v="2"/>
    <s v="Dhaka"/>
    <x v="0"/>
    <x v="0"/>
    <x v="2"/>
  </r>
  <r>
    <x v="0"/>
    <n v="18"/>
    <n v="1"/>
    <n v="1"/>
    <n v="0"/>
    <x v="5"/>
    <x v="1"/>
    <x v="1"/>
    <s v="Dhaka"/>
    <x v="1"/>
    <x v="1"/>
    <x v="1"/>
  </r>
  <r>
    <x v="0"/>
    <n v="45"/>
    <n v="0"/>
    <n v="0"/>
    <n v="0"/>
    <x v="31"/>
    <x v="0"/>
    <x v="2"/>
    <s v="Dhaka"/>
    <x v="0"/>
    <x v="0"/>
    <x v="0"/>
  </r>
  <r>
    <x v="0"/>
    <n v="9"/>
    <n v="1"/>
    <n v="1"/>
    <n v="0"/>
    <x v="25"/>
    <x v="1"/>
    <x v="2"/>
    <s v="Dhaka"/>
    <x v="1"/>
    <x v="1"/>
    <x v="4"/>
  </r>
  <r>
    <x v="1"/>
    <n v="50"/>
    <n v="0"/>
    <n v="0"/>
    <n v="1"/>
    <x v="2"/>
    <x v="0"/>
    <x v="1"/>
    <s v="Dhaka"/>
    <x v="0"/>
    <x v="0"/>
    <x v="0"/>
  </r>
  <r>
    <x v="0"/>
    <n v="50"/>
    <n v="1"/>
    <n v="1"/>
    <n v="0"/>
    <x v="14"/>
    <x v="1"/>
    <x v="2"/>
    <s v="Dhaka"/>
    <x v="1"/>
    <x v="1"/>
    <x v="0"/>
  </r>
  <r>
    <x v="1"/>
    <n v="14"/>
    <n v="0"/>
    <n v="0"/>
    <n v="0"/>
    <x v="24"/>
    <x v="0"/>
    <x v="0"/>
    <s v="Dhaka"/>
    <x v="0"/>
    <x v="0"/>
    <x v="1"/>
  </r>
  <r>
    <x v="0"/>
    <n v="40"/>
    <n v="0"/>
    <n v="0"/>
    <n v="1"/>
    <x v="0"/>
    <x v="1"/>
    <x v="1"/>
    <s v="Dhaka"/>
    <x v="0"/>
    <x v="0"/>
    <x v="0"/>
  </r>
  <r>
    <x v="0"/>
    <n v="62"/>
    <n v="0"/>
    <n v="0"/>
    <n v="1"/>
    <x v="1"/>
    <x v="0"/>
    <x v="0"/>
    <s v="Dhaka"/>
    <x v="0"/>
    <x v="0"/>
    <x v="3"/>
  </r>
  <r>
    <x v="0"/>
    <n v="40"/>
    <n v="1"/>
    <n v="1"/>
    <n v="1"/>
    <x v="1"/>
    <x v="1"/>
    <x v="1"/>
    <s v="Dhaka"/>
    <x v="1"/>
    <x v="1"/>
    <x v="0"/>
  </r>
  <r>
    <x v="1"/>
    <n v="24"/>
    <n v="0"/>
    <n v="0"/>
    <n v="1"/>
    <x v="7"/>
    <x v="0"/>
    <x v="2"/>
    <s v="Dhaka"/>
    <x v="0"/>
    <x v="0"/>
    <x v="2"/>
  </r>
  <r>
    <x v="1"/>
    <n v="21"/>
    <n v="0"/>
    <n v="0"/>
    <n v="1"/>
    <x v="21"/>
    <x v="1"/>
    <x v="1"/>
    <s v="Dhaka"/>
    <x v="0"/>
    <x v="0"/>
    <x v="2"/>
  </r>
  <r>
    <x v="1"/>
    <n v="62"/>
    <n v="1"/>
    <n v="1"/>
    <n v="0"/>
    <x v="10"/>
    <x v="0"/>
    <x v="1"/>
    <s v="Dhaka"/>
    <x v="1"/>
    <x v="1"/>
    <x v="3"/>
  </r>
  <r>
    <x v="1"/>
    <n v="16"/>
    <n v="1"/>
    <n v="1"/>
    <n v="1"/>
    <x v="1"/>
    <x v="1"/>
    <x v="0"/>
    <s v="Dhaka"/>
    <x v="1"/>
    <x v="1"/>
    <x v="1"/>
  </r>
  <r>
    <x v="1"/>
    <n v="11"/>
    <n v="0"/>
    <n v="0"/>
    <n v="0"/>
    <x v="18"/>
    <x v="0"/>
    <x v="0"/>
    <s v="Dhaka"/>
    <x v="0"/>
    <x v="0"/>
    <x v="4"/>
  </r>
  <r>
    <x v="1"/>
    <n v="30"/>
    <n v="1"/>
    <n v="1"/>
    <n v="0"/>
    <x v="1"/>
    <x v="1"/>
    <x v="1"/>
    <s v="Dhaka"/>
    <x v="1"/>
    <x v="1"/>
    <x v="2"/>
  </r>
  <r>
    <x v="1"/>
    <n v="55"/>
    <n v="0"/>
    <n v="0"/>
    <n v="0"/>
    <x v="11"/>
    <x v="0"/>
    <x v="2"/>
    <s v="Dhaka"/>
    <x v="0"/>
    <x v="0"/>
    <x v="0"/>
  </r>
  <r>
    <x v="1"/>
    <n v="24"/>
    <n v="0"/>
    <n v="0"/>
    <n v="1"/>
    <x v="23"/>
    <x v="1"/>
    <x v="1"/>
    <s v="Dhaka"/>
    <x v="0"/>
    <x v="0"/>
    <x v="2"/>
  </r>
  <r>
    <x v="0"/>
    <n v="54"/>
    <n v="0"/>
    <n v="0"/>
    <n v="1"/>
    <x v="35"/>
    <x v="0"/>
    <x v="1"/>
    <s v="Dhaka"/>
    <x v="0"/>
    <x v="0"/>
    <x v="0"/>
  </r>
  <r>
    <x v="1"/>
    <n v="29"/>
    <n v="1"/>
    <n v="1"/>
    <n v="0"/>
    <x v="26"/>
    <x v="1"/>
    <x v="2"/>
    <s v="Dhaka"/>
    <x v="1"/>
    <x v="1"/>
    <x v="2"/>
  </r>
  <r>
    <x v="0"/>
    <n v="20"/>
    <n v="0"/>
    <n v="0"/>
    <n v="1"/>
    <x v="11"/>
    <x v="0"/>
    <x v="2"/>
    <s v="Dhaka"/>
    <x v="0"/>
    <x v="0"/>
    <x v="2"/>
  </r>
  <r>
    <x v="1"/>
    <n v="57"/>
    <n v="1"/>
    <n v="1"/>
    <n v="1"/>
    <x v="28"/>
    <x v="1"/>
    <x v="2"/>
    <s v="Dhaka"/>
    <x v="1"/>
    <x v="1"/>
    <x v="0"/>
  </r>
  <r>
    <x v="1"/>
    <n v="62"/>
    <n v="0"/>
    <n v="0"/>
    <n v="1"/>
    <x v="29"/>
    <x v="0"/>
    <x v="1"/>
    <s v="Dhaka"/>
    <x v="0"/>
    <x v="0"/>
    <x v="3"/>
  </r>
  <r>
    <x v="0"/>
    <n v="35"/>
    <n v="0"/>
    <n v="0"/>
    <n v="1"/>
    <x v="29"/>
    <x v="1"/>
    <x v="2"/>
    <s v="Dhaka"/>
    <x v="0"/>
    <x v="0"/>
    <x v="2"/>
  </r>
  <r>
    <x v="0"/>
    <n v="22"/>
    <n v="1"/>
    <n v="1"/>
    <n v="1"/>
    <x v="0"/>
    <x v="0"/>
    <x v="1"/>
    <s v="Dhaka"/>
    <x v="1"/>
    <x v="1"/>
    <x v="2"/>
  </r>
  <r>
    <x v="1"/>
    <n v="14"/>
    <n v="1"/>
    <n v="1"/>
    <n v="1"/>
    <x v="30"/>
    <x v="1"/>
    <x v="0"/>
    <s v="Dhaka"/>
    <x v="1"/>
    <x v="1"/>
    <x v="1"/>
  </r>
  <r>
    <x v="0"/>
    <n v="40"/>
    <n v="1"/>
    <n v="1"/>
    <n v="0"/>
    <x v="29"/>
    <x v="0"/>
    <x v="0"/>
    <s v="Dhaka"/>
    <x v="1"/>
    <x v="1"/>
    <x v="0"/>
  </r>
  <r>
    <x v="0"/>
    <n v="46"/>
    <n v="1"/>
    <n v="1"/>
    <n v="0"/>
    <x v="15"/>
    <x v="1"/>
    <x v="1"/>
    <s v="Dhaka"/>
    <x v="1"/>
    <x v="1"/>
    <x v="0"/>
  </r>
  <r>
    <x v="0"/>
    <n v="21"/>
    <n v="0"/>
    <n v="0"/>
    <n v="1"/>
    <x v="6"/>
    <x v="0"/>
    <x v="2"/>
    <s v="Dhaka"/>
    <x v="0"/>
    <x v="0"/>
    <x v="2"/>
  </r>
  <r>
    <x v="1"/>
    <n v="38"/>
    <n v="0"/>
    <n v="0"/>
    <n v="1"/>
    <x v="21"/>
    <x v="1"/>
    <x v="0"/>
    <s v="Dhaka"/>
    <x v="0"/>
    <x v="0"/>
    <x v="0"/>
  </r>
  <r>
    <x v="1"/>
    <n v="23"/>
    <n v="1"/>
    <n v="1"/>
    <n v="1"/>
    <x v="32"/>
    <x v="0"/>
    <x v="0"/>
    <s v="Dhaka"/>
    <x v="1"/>
    <x v="1"/>
    <x v="2"/>
  </r>
  <r>
    <x v="0"/>
    <n v="15"/>
    <n v="0"/>
    <n v="0"/>
    <n v="0"/>
    <x v="0"/>
    <x v="1"/>
    <x v="1"/>
    <s v="Dhaka"/>
    <x v="0"/>
    <x v="0"/>
    <x v="1"/>
  </r>
  <r>
    <x v="0"/>
    <n v="21"/>
    <n v="0"/>
    <n v="0"/>
    <n v="0"/>
    <x v="14"/>
    <x v="0"/>
    <x v="1"/>
    <s v="Dhaka"/>
    <x v="0"/>
    <x v="0"/>
    <x v="2"/>
  </r>
  <r>
    <x v="0"/>
    <n v="31"/>
    <n v="0"/>
    <n v="0"/>
    <n v="0"/>
    <x v="11"/>
    <x v="1"/>
    <x v="1"/>
    <s v="Dhaka"/>
    <x v="0"/>
    <x v="0"/>
    <x v="2"/>
  </r>
  <r>
    <x v="0"/>
    <n v="43"/>
    <n v="1"/>
    <n v="1"/>
    <n v="0"/>
    <x v="23"/>
    <x v="0"/>
    <x v="2"/>
    <s v="Dhaka"/>
    <x v="1"/>
    <x v="1"/>
    <x v="0"/>
  </r>
  <r>
    <x v="1"/>
    <n v="29"/>
    <n v="1"/>
    <n v="1"/>
    <n v="0"/>
    <x v="20"/>
    <x v="1"/>
    <x v="2"/>
    <s v="Dhaka"/>
    <x v="1"/>
    <x v="1"/>
    <x v="2"/>
  </r>
  <r>
    <x v="0"/>
    <n v="58"/>
    <n v="0"/>
    <n v="0"/>
    <n v="1"/>
    <x v="19"/>
    <x v="0"/>
    <x v="0"/>
    <s v="Dhaka"/>
    <x v="0"/>
    <x v="0"/>
    <x v="0"/>
  </r>
  <r>
    <x v="1"/>
    <n v="27"/>
    <n v="1"/>
    <n v="1"/>
    <n v="0"/>
    <x v="29"/>
    <x v="1"/>
    <x v="0"/>
    <s v="Dhaka"/>
    <x v="1"/>
    <x v="1"/>
    <x v="2"/>
  </r>
  <r>
    <x v="1"/>
    <n v="49"/>
    <n v="0"/>
    <n v="0"/>
    <n v="0"/>
    <x v="6"/>
    <x v="0"/>
    <x v="0"/>
    <s v="Dhaka"/>
    <x v="0"/>
    <x v="0"/>
    <x v="0"/>
  </r>
  <r>
    <x v="1"/>
    <n v="43"/>
    <n v="1"/>
    <n v="1"/>
    <n v="1"/>
    <x v="11"/>
    <x v="1"/>
    <x v="0"/>
    <s v="Dhaka"/>
    <x v="1"/>
    <x v="1"/>
    <x v="0"/>
  </r>
  <r>
    <x v="1"/>
    <n v="42"/>
    <n v="1"/>
    <n v="1"/>
    <n v="0"/>
    <x v="33"/>
    <x v="0"/>
    <x v="1"/>
    <s v="Dhaka"/>
    <x v="1"/>
    <x v="1"/>
    <x v="0"/>
  </r>
  <r>
    <x v="0"/>
    <n v="18"/>
    <n v="1"/>
    <n v="1"/>
    <n v="0"/>
    <x v="30"/>
    <x v="1"/>
    <x v="0"/>
    <s v="Dhaka"/>
    <x v="1"/>
    <x v="1"/>
    <x v="1"/>
  </r>
  <r>
    <x v="1"/>
    <n v="15"/>
    <n v="1"/>
    <n v="1"/>
    <n v="0"/>
    <x v="35"/>
    <x v="0"/>
    <x v="2"/>
    <s v="Dhaka"/>
    <x v="1"/>
    <x v="1"/>
    <x v="1"/>
  </r>
  <r>
    <x v="1"/>
    <n v="22"/>
    <n v="1"/>
    <n v="1"/>
    <n v="0"/>
    <x v="11"/>
    <x v="1"/>
    <x v="0"/>
    <s v="Dhaka"/>
    <x v="1"/>
    <x v="1"/>
    <x v="2"/>
  </r>
  <r>
    <x v="1"/>
    <n v="31"/>
    <n v="1"/>
    <n v="1"/>
    <n v="0"/>
    <x v="20"/>
    <x v="0"/>
    <x v="2"/>
    <s v="Dhaka"/>
    <x v="1"/>
    <x v="1"/>
    <x v="2"/>
  </r>
  <r>
    <x v="0"/>
    <n v="26"/>
    <n v="0"/>
    <n v="0"/>
    <n v="1"/>
    <x v="16"/>
    <x v="1"/>
    <x v="0"/>
    <s v="Dhaka"/>
    <x v="0"/>
    <x v="0"/>
    <x v="2"/>
  </r>
  <r>
    <x v="1"/>
    <n v="11"/>
    <n v="1"/>
    <n v="1"/>
    <n v="1"/>
    <x v="0"/>
    <x v="0"/>
    <x v="2"/>
    <s v="Dhaka"/>
    <x v="1"/>
    <x v="1"/>
    <x v="4"/>
  </r>
  <r>
    <x v="1"/>
    <n v="47"/>
    <n v="1"/>
    <n v="1"/>
    <n v="1"/>
    <x v="0"/>
    <x v="1"/>
    <x v="2"/>
    <s v="Dhaka"/>
    <x v="1"/>
    <x v="1"/>
    <x v="0"/>
  </r>
  <r>
    <x v="0"/>
    <n v="20"/>
    <n v="0"/>
    <n v="0"/>
    <n v="1"/>
    <x v="23"/>
    <x v="0"/>
    <x v="0"/>
    <s v="Dhaka"/>
    <x v="0"/>
    <x v="0"/>
    <x v="2"/>
  </r>
  <r>
    <x v="1"/>
    <n v="58"/>
    <n v="0"/>
    <n v="0"/>
    <n v="1"/>
    <x v="27"/>
    <x v="1"/>
    <x v="0"/>
    <s v="Dhaka"/>
    <x v="0"/>
    <x v="0"/>
    <x v="0"/>
  </r>
  <r>
    <x v="1"/>
    <n v="62"/>
    <n v="1"/>
    <n v="1"/>
    <n v="0"/>
    <x v="27"/>
    <x v="0"/>
    <x v="1"/>
    <s v="Dhaka"/>
    <x v="1"/>
    <x v="1"/>
    <x v="3"/>
  </r>
  <r>
    <x v="0"/>
    <n v="27"/>
    <n v="0"/>
    <n v="0"/>
    <n v="1"/>
    <x v="20"/>
    <x v="1"/>
    <x v="1"/>
    <s v="Dhaka"/>
    <x v="0"/>
    <x v="0"/>
    <x v="2"/>
  </r>
  <r>
    <x v="0"/>
    <n v="49"/>
    <n v="1"/>
    <n v="1"/>
    <n v="1"/>
    <x v="29"/>
    <x v="0"/>
    <x v="2"/>
    <s v="Dhaka"/>
    <x v="1"/>
    <x v="1"/>
    <x v="0"/>
  </r>
  <r>
    <x v="0"/>
    <n v="30"/>
    <n v="1"/>
    <n v="1"/>
    <n v="0"/>
    <x v="24"/>
    <x v="1"/>
    <x v="1"/>
    <s v="Dhaka"/>
    <x v="1"/>
    <x v="1"/>
    <x v="2"/>
  </r>
  <r>
    <x v="1"/>
    <n v="61"/>
    <n v="1"/>
    <n v="1"/>
    <n v="1"/>
    <x v="4"/>
    <x v="0"/>
    <x v="1"/>
    <s v="Dhaka"/>
    <x v="1"/>
    <x v="1"/>
    <x v="3"/>
  </r>
  <r>
    <x v="0"/>
    <n v="31"/>
    <n v="1"/>
    <n v="1"/>
    <n v="1"/>
    <x v="28"/>
    <x v="1"/>
    <x v="0"/>
    <s v="Dhaka"/>
    <x v="1"/>
    <x v="1"/>
    <x v="2"/>
  </r>
  <r>
    <x v="0"/>
    <n v="64"/>
    <n v="0"/>
    <n v="0"/>
    <n v="1"/>
    <x v="3"/>
    <x v="0"/>
    <x v="1"/>
    <s v="Dhaka"/>
    <x v="0"/>
    <x v="0"/>
    <x v="3"/>
  </r>
  <r>
    <x v="0"/>
    <n v="37"/>
    <n v="0"/>
    <n v="0"/>
    <n v="1"/>
    <x v="8"/>
    <x v="1"/>
    <x v="1"/>
    <s v="Dhaka"/>
    <x v="0"/>
    <x v="0"/>
    <x v="0"/>
  </r>
  <r>
    <x v="1"/>
    <n v="45"/>
    <n v="1"/>
    <n v="1"/>
    <n v="0"/>
    <x v="34"/>
    <x v="0"/>
    <x v="1"/>
    <s v="Dhaka"/>
    <x v="1"/>
    <x v="1"/>
    <x v="0"/>
  </r>
  <r>
    <x v="1"/>
    <n v="47"/>
    <n v="1"/>
    <n v="1"/>
    <n v="0"/>
    <x v="31"/>
    <x v="1"/>
    <x v="1"/>
    <s v="Dhaka"/>
    <x v="1"/>
    <x v="1"/>
    <x v="0"/>
  </r>
  <r>
    <x v="0"/>
    <n v="34"/>
    <n v="0"/>
    <n v="0"/>
    <n v="0"/>
    <x v="21"/>
    <x v="0"/>
    <x v="2"/>
    <s v="Dhaka"/>
    <x v="0"/>
    <x v="0"/>
    <x v="2"/>
  </r>
  <r>
    <x v="1"/>
    <n v="37"/>
    <n v="1"/>
    <n v="1"/>
    <n v="1"/>
    <x v="33"/>
    <x v="1"/>
    <x v="1"/>
    <s v="Dhaka"/>
    <x v="1"/>
    <x v="1"/>
    <x v="0"/>
  </r>
  <r>
    <x v="0"/>
    <n v="17"/>
    <n v="0"/>
    <n v="0"/>
    <n v="0"/>
    <x v="7"/>
    <x v="0"/>
    <x v="0"/>
    <s v="Dhaka"/>
    <x v="0"/>
    <x v="0"/>
    <x v="1"/>
  </r>
  <r>
    <x v="1"/>
    <n v="38"/>
    <n v="0"/>
    <n v="1"/>
    <n v="0"/>
    <x v="10"/>
    <x v="1"/>
    <x v="0"/>
    <s v="Dhaka"/>
    <x v="1"/>
    <x v="1"/>
    <x v="0"/>
  </r>
  <r>
    <x v="0"/>
    <n v="13"/>
    <n v="0"/>
    <n v="0"/>
    <n v="0"/>
    <x v="13"/>
    <x v="0"/>
    <x v="2"/>
    <s v="Dhaka"/>
    <x v="0"/>
    <x v="0"/>
    <x v="1"/>
  </r>
  <r>
    <x v="0"/>
    <n v="52"/>
    <n v="1"/>
    <n v="1"/>
    <n v="1"/>
    <x v="31"/>
    <x v="1"/>
    <x v="2"/>
    <s v="Dhaka"/>
    <x v="1"/>
    <x v="1"/>
    <x v="0"/>
  </r>
  <r>
    <x v="0"/>
    <n v="50"/>
    <n v="0"/>
    <n v="0"/>
    <n v="0"/>
    <x v="18"/>
    <x v="0"/>
    <x v="2"/>
    <s v="Dhaka"/>
    <x v="0"/>
    <x v="0"/>
    <x v="0"/>
  </r>
  <r>
    <x v="1"/>
    <n v="35"/>
    <n v="0"/>
    <n v="0"/>
    <n v="0"/>
    <x v="12"/>
    <x v="1"/>
    <x v="0"/>
    <s v="Dhaka"/>
    <x v="0"/>
    <x v="0"/>
    <x v="2"/>
  </r>
  <r>
    <x v="1"/>
    <n v="14"/>
    <n v="1"/>
    <n v="1"/>
    <n v="1"/>
    <x v="30"/>
    <x v="0"/>
    <x v="1"/>
    <s v="Dhaka"/>
    <x v="1"/>
    <x v="1"/>
    <x v="1"/>
  </r>
  <r>
    <x v="0"/>
    <n v="31"/>
    <n v="0"/>
    <n v="0"/>
    <n v="1"/>
    <x v="9"/>
    <x v="1"/>
    <x v="0"/>
    <s v="Dhaka"/>
    <x v="0"/>
    <x v="0"/>
    <x v="2"/>
  </r>
  <r>
    <x v="0"/>
    <n v="23"/>
    <n v="1"/>
    <n v="1"/>
    <n v="0"/>
    <x v="13"/>
    <x v="0"/>
    <x v="2"/>
    <s v="Dhaka"/>
    <x v="1"/>
    <x v="1"/>
    <x v="2"/>
  </r>
  <r>
    <x v="1"/>
    <n v="32"/>
    <n v="0"/>
    <n v="0"/>
    <n v="0"/>
    <x v="29"/>
    <x v="1"/>
    <x v="2"/>
    <s v="Dhaka"/>
    <x v="0"/>
    <x v="0"/>
    <x v="2"/>
  </r>
  <r>
    <x v="1"/>
    <n v="39"/>
    <n v="1"/>
    <n v="1"/>
    <n v="0"/>
    <x v="4"/>
    <x v="0"/>
    <x v="2"/>
    <s v="Dhaka"/>
    <x v="1"/>
    <x v="1"/>
    <x v="0"/>
  </r>
  <r>
    <x v="0"/>
    <n v="53"/>
    <n v="0"/>
    <n v="0"/>
    <n v="0"/>
    <x v="27"/>
    <x v="1"/>
    <x v="0"/>
    <s v="Dhaka"/>
    <x v="0"/>
    <x v="0"/>
    <x v="0"/>
  </r>
  <r>
    <x v="1"/>
    <n v="29"/>
    <n v="0"/>
    <n v="0"/>
    <n v="1"/>
    <x v="13"/>
    <x v="0"/>
    <x v="1"/>
    <s v="Dhaka"/>
    <x v="0"/>
    <x v="0"/>
    <x v="2"/>
  </r>
  <r>
    <x v="1"/>
    <n v="51"/>
    <n v="1"/>
    <n v="1"/>
    <n v="1"/>
    <x v="23"/>
    <x v="1"/>
    <x v="1"/>
    <s v="Dhaka"/>
    <x v="1"/>
    <x v="1"/>
    <x v="0"/>
  </r>
  <r>
    <x v="1"/>
    <n v="11"/>
    <n v="0"/>
    <n v="0"/>
    <n v="1"/>
    <x v="17"/>
    <x v="0"/>
    <x v="1"/>
    <s v="Dhaka"/>
    <x v="0"/>
    <x v="0"/>
    <x v="4"/>
  </r>
  <r>
    <x v="0"/>
    <n v="29"/>
    <n v="1"/>
    <n v="1"/>
    <n v="1"/>
    <x v="33"/>
    <x v="1"/>
    <x v="0"/>
    <s v="Dhaka"/>
    <x v="1"/>
    <x v="1"/>
    <x v="2"/>
  </r>
  <r>
    <x v="1"/>
    <n v="45"/>
    <n v="1"/>
    <n v="1"/>
    <n v="0"/>
    <x v="12"/>
    <x v="0"/>
    <x v="0"/>
    <s v="Dhaka"/>
    <x v="1"/>
    <x v="1"/>
    <x v="0"/>
  </r>
  <r>
    <x v="1"/>
    <n v="19"/>
    <n v="0"/>
    <n v="0"/>
    <n v="0"/>
    <x v="31"/>
    <x v="1"/>
    <x v="0"/>
    <s v="Dhaka"/>
    <x v="0"/>
    <x v="0"/>
    <x v="2"/>
  </r>
  <r>
    <x v="1"/>
    <n v="24"/>
    <n v="1"/>
    <n v="1"/>
    <n v="0"/>
    <x v="30"/>
    <x v="0"/>
    <x v="2"/>
    <s v="Dhaka"/>
    <x v="1"/>
    <x v="1"/>
    <x v="2"/>
  </r>
  <r>
    <x v="1"/>
    <n v="48"/>
    <n v="0"/>
    <n v="0"/>
    <n v="0"/>
    <x v="26"/>
    <x v="1"/>
    <x v="0"/>
    <s v="Dhaka"/>
    <x v="0"/>
    <x v="0"/>
    <x v="0"/>
  </r>
  <r>
    <x v="0"/>
    <n v="53"/>
    <n v="1"/>
    <n v="1"/>
    <n v="0"/>
    <x v="24"/>
    <x v="0"/>
    <x v="2"/>
    <s v="Dhaka"/>
    <x v="1"/>
    <x v="1"/>
    <x v="0"/>
  </r>
  <r>
    <x v="0"/>
    <n v="33"/>
    <n v="1"/>
    <n v="1"/>
    <n v="0"/>
    <x v="22"/>
    <x v="1"/>
    <x v="2"/>
    <s v="Dhaka"/>
    <x v="1"/>
    <x v="1"/>
    <x v="2"/>
  </r>
  <r>
    <x v="1"/>
    <n v="41"/>
    <n v="1"/>
    <n v="1"/>
    <n v="1"/>
    <x v="9"/>
    <x v="0"/>
    <x v="2"/>
    <s v="Dhaka"/>
    <x v="1"/>
    <x v="1"/>
    <x v="0"/>
  </r>
  <r>
    <x v="0"/>
    <n v="35"/>
    <n v="0"/>
    <n v="0"/>
    <n v="1"/>
    <x v="5"/>
    <x v="1"/>
    <x v="0"/>
    <s v="Dhaka"/>
    <x v="0"/>
    <x v="0"/>
    <x v="2"/>
  </r>
  <r>
    <x v="1"/>
    <n v="63"/>
    <n v="0"/>
    <n v="0"/>
    <n v="0"/>
    <x v="5"/>
    <x v="0"/>
    <x v="2"/>
    <s v="Dhaka"/>
    <x v="0"/>
    <x v="0"/>
    <x v="3"/>
  </r>
  <r>
    <x v="0"/>
    <n v="54"/>
    <n v="1"/>
    <n v="1"/>
    <n v="0"/>
    <x v="15"/>
    <x v="1"/>
    <x v="2"/>
    <s v="Dhaka"/>
    <x v="1"/>
    <x v="1"/>
    <x v="0"/>
  </r>
  <r>
    <x v="0"/>
    <n v="40"/>
    <n v="1"/>
    <n v="1"/>
    <n v="1"/>
    <x v="25"/>
    <x v="0"/>
    <x v="2"/>
    <s v="Dhaka"/>
    <x v="1"/>
    <x v="1"/>
    <x v="0"/>
  </r>
  <r>
    <x v="0"/>
    <n v="23"/>
    <n v="0"/>
    <n v="0"/>
    <n v="1"/>
    <x v="34"/>
    <x v="1"/>
    <x v="1"/>
    <s v="Dhaka"/>
    <x v="0"/>
    <x v="0"/>
    <x v="2"/>
  </r>
  <r>
    <x v="0"/>
    <n v="55"/>
    <n v="0"/>
    <n v="0"/>
    <n v="0"/>
    <x v="9"/>
    <x v="0"/>
    <x v="1"/>
    <s v="Dhaka"/>
    <x v="0"/>
    <x v="0"/>
    <x v="0"/>
  </r>
  <r>
    <x v="0"/>
    <n v="32"/>
    <n v="0"/>
    <n v="0"/>
    <n v="0"/>
    <x v="24"/>
    <x v="1"/>
    <x v="1"/>
    <s v="Dhaka"/>
    <x v="0"/>
    <x v="0"/>
    <x v="2"/>
  </r>
  <r>
    <x v="1"/>
    <n v="13"/>
    <n v="0"/>
    <n v="0"/>
    <n v="1"/>
    <x v="4"/>
    <x v="0"/>
    <x v="2"/>
    <s v="Dhaka"/>
    <x v="0"/>
    <x v="0"/>
    <x v="1"/>
  </r>
  <r>
    <x v="1"/>
    <n v="44"/>
    <n v="1"/>
    <n v="1"/>
    <n v="0"/>
    <x v="22"/>
    <x v="1"/>
    <x v="0"/>
    <s v="Dhaka"/>
    <x v="1"/>
    <x v="1"/>
    <x v="0"/>
  </r>
  <r>
    <x v="0"/>
    <n v="52"/>
    <n v="0"/>
    <n v="0"/>
    <n v="1"/>
    <x v="12"/>
    <x v="0"/>
    <x v="2"/>
    <s v="Dhaka"/>
    <x v="0"/>
    <x v="0"/>
    <x v="0"/>
  </r>
  <r>
    <x v="1"/>
    <n v="65"/>
    <n v="0"/>
    <n v="0"/>
    <n v="0"/>
    <x v="14"/>
    <x v="1"/>
    <x v="1"/>
    <s v="Dhaka"/>
    <x v="0"/>
    <x v="0"/>
    <x v="3"/>
  </r>
  <r>
    <x v="1"/>
    <n v="55"/>
    <n v="0"/>
    <n v="0"/>
    <n v="0"/>
    <x v="19"/>
    <x v="0"/>
    <x v="1"/>
    <s v="Dhaka"/>
    <x v="0"/>
    <x v="0"/>
    <x v="0"/>
  </r>
  <r>
    <x v="0"/>
    <n v="17"/>
    <n v="0"/>
    <n v="0"/>
    <n v="1"/>
    <x v="0"/>
    <x v="1"/>
    <x v="1"/>
    <s v="Dhaka"/>
    <x v="0"/>
    <x v="0"/>
    <x v="1"/>
  </r>
  <r>
    <x v="0"/>
    <n v="31"/>
    <n v="1"/>
    <n v="1"/>
    <n v="0"/>
    <x v="19"/>
    <x v="0"/>
    <x v="0"/>
    <s v="Dhaka"/>
    <x v="1"/>
    <x v="1"/>
    <x v="2"/>
  </r>
  <r>
    <x v="1"/>
    <n v="9"/>
    <n v="1"/>
    <n v="1"/>
    <n v="1"/>
    <x v="21"/>
    <x v="1"/>
    <x v="2"/>
    <s v="Dhaka"/>
    <x v="1"/>
    <x v="1"/>
    <x v="4"/>
  </r>
  <r>
    <x v="1"/>
    <n v="22"/>
    <n v="1"/>
    <n v="1"/>
    <n v="0"/>
    <x v="21"/>
    <x v="0"/>
    <x v="2"/>
    <s v="Dhaka"/>
    <x v="1"/>
    <x v="1"/>
    <x v="2"/>
  </r>
  <r>
    <x v="0"/>
    <n v="21"/>
    <n v="1"/>
    <n v="1"/>
    <n v="0"/>
    <x v="29"/>
    <x v="1"/>
    <x v="1"/>
    <s v="Dhaka"/>
    <x v="1"/>
    <x v="1"/>
    <x v="2"/>
  </r>
  <r>
    <x v="0"/>
    <n v="15"/>
    <n v="1"/>
    <n v="1"/>
    <n v="0"/>
    <x v="34"/>
    <x v="0"/>
    <x v="0"/>
    <s v="Dhaka"/>
    <x v="1"/>
    <x v="1"/>
    <x v="1"/>
  </r>
  <r>
    <x v="1"/>
    <n v="40"/>
    <n v="1"/>
    <n v="1"/>
    <n v="0"/>
    <x v="31"/>
    <x v="1"/>
    <x v="2"/>
    <s v="Dhaka"/>
    <x v="1"/>
    <x v="1"/>
    <x v="0"/>
  </r>
  <r>
    <x v="0"/>
    <n v="37"/>
    <n v="1"/>
    <n v="1"/>
    <n v="1"/>
    <x v="3"/>
    <x v="0"/>
    <x v="0"/>
    <s v="Dhaka"/>
    <x v="1"/>
    <x v="1"/>
    <x v="0"/>
  </r>
  <r>
    <x v="1"/>
    <n v="53"/>
    <n v="0"/>
    <n v="0"/>
    <n v="0"/>
    <x v="4"/>
    <x v="1"/>
    <x v="1"/>
    <s v="Dhaka"/>
    <x v="0"/>
    <x v="0"/>
    <x v="0"/>
  </r>
  <r>
    <x v="0"/>
    <n v="46"/>
    <n v="0"/>
    <n v="0"/>
    <n v="0"/>
    <x v="6"/>
    <x v="0"/>
    <x v="2"/>
    <s v="Dhaka"/>
    <x v="0"/>
    <x v="0"/>
    <x v="0"/>
  </r>
  <r>
    <x v="1"/>
    <n v="9"/>
    <n v="1"/>
    <n v="1"/>
    <n v="1"/>
    <x v="16"/>
    <x v="1"/>
    <x v="1"/>
    <s v="Dhaka"/>
    <x v="1"/>
    <x v="1"/>
    <x v="4"/>
  </r>
  <r>
    <x v="1"/>
    <n v="35"/>
    <n v="0"/>
    <n v="0"/>
    <n v="1"/>
    <x v="6"/>
    <x v="0"/>
    <x v="2"/>
    <s v="Dhaka"/>
    <x v="0"/>
    <x v="0"/>
    <x v="2"/>
  </r>
  <r>
    <x v="0"/>
    <n v="18"/>
    <n v="0"/>
    <n v="0"/>
    <n v="1"/>
    <x v="18"/>
    <x v="1"/>
    <x v="1"/>
    <s v="Dhaka"/>
    <x v="0"/>
    <x v="0"/>
    <x v="1"/>
  </r>
  <r>
    <x v="0"/>
    <n v="10"/>
    <n v="0"/>
    <n v="0"/>
    <n v="1"/>
    <x v="17"/>
    <x v="0"/>
    <x v="1"/>
    <s v="Dhaka"/>
    <x v="0"/>
    <x v="0"/>
    <x v="4"/>
  </r>
  <r>
    <x v="0"/>
    <n v="13"/>
    <n v="1"/>
    <n v="1"/>
    <n v="1"/>
    <x v="0"/>
    <x v="1"/>
    <x v="2"/>
    <s v="Dhaka"/>
    <x v="1"/>
    <x v="1"/>
    <x v="1"/>
  </r>
  <r>
    <x v="0"/>
    <n v="19"/>
    <n v="1"/>
    <n v="1"/>
    <n v="0"/>
    <x v="33"/>
    <x v="0"/>
    <x v="2"/>
    <s v="Dhaka"/>
    <x v="1"/>
    <x v="1"/>
    <x v="2"/>
  </r>
  <r>
    <x v="1"/>
    <n v="37"/>
    <n v="0"/>
    <n v="0"/>
    <n v="1"/>
    <x v="13"/>
    <x v="1"/>
    <x v="1"/>
    <s v="Dhaka"/>
    <x v="0"/>
    <x v="0"/>
    <x v="0"/>
  </r>
  <r>
    <x v="0"/>
    <n v="40"/>
    <n v="1"/>
    <n v="1"/>
    <n v="0"/>
    <x v="31"/>
    <x v="0"/>
    <x v="0"/>
    <s v="Dhaka"/>
    <x v="1"/>
    <x v="1"/>
    <x v="0"/>
  </r>
  <r>
    <x v="0"/>
    <n v="10"/>
    <n v="0"/>
    <n v="0"/>
    <n v="0"/>
    <x v="31"/>
    <x v="1"/>
    <x v="2"/>
    <s v="Dhaka"/>
    <x v="0"/>
    <x v="0"/>
    <x v="4"/>
  </r>
  <r>
    <x v="0"/>
    <n v="17"/>
    <n v="0"/>
    <n v="0"/>
    <n v="1"/>
    <x v="7"/>
    <x v="0"/>
    <x v="1"/>
    <s v="Dhaka"/>
    <x v="0"/>
    <x v="0"/>
    <x v="1"/>
  </r>
  <r>
    <x v="0"/>
    <n v="47"/>
    <n v="1"/>
    <n v="1"/>
    <n v="0"/>
    <x v="24"/>
    <x v="1"/>
    <x v="0"/>
    <s v="Dhaka"/>
    <x v="1"/>
    <x v="1"/>
    <x v="0"/>
  </r>
  <r>
    <x v="1"/>
    <n v="51"/>
    <n v="0"/>
    <n v="0"/>
    <n v="0"/>
    <x v="20"/>
    <x v="0"/>
    <x v="1"/>
    <s v="Dhaka"/>
    <x v="0"/>
    <x v="0"/>
    <x v="0"/>
  </r>
  <r>
    <x v="1"/>
    <n v="33"/>
    <n v="1"/>
    <n v="1"/>
    <n v="1"/>
    <x v="34"/>
    <x v="1"/>
    <x v="0"/>
    <s v="Dhaka"/>
    <x v="1"/>
    <x v="1"/>
    <x v="2"/>
  </r>
  <r>
    <x v="1"/>
    <n v="51"/>
    <n v="1"/>
    <n v="1"/>
    <n v="1"/>
    <x v="5"/>
    <x v="0"/>
    <x v="1"/>
    <s v="Dhaka"/>
    <x v="1"/>
    <x v="1"/>
    <x v="0"/>
  </r>
  <r>
    <x v="0"/>
    <n v="60"/>
    <n v="0"/>
    <n v="0"/>
    <n v="1"/>
    <x v="19"/>
    <x v="1"/>
    <x v="0"/>
    <s v="Dhaka"/>
    <x v="0"/>
    <x v="0"/>
    <x v="0"/>
  </r>
  <r>
    <x v="0"/>
    <n v="23"/>
    <n v="0"/>
    <n v="0"/>
    <n v="1"/>
    <x v="33"/>
    <x v="0"/>
    <x v="1"/>
    <s v="Dhaka"/>
    <x v="0"/>
    <x v="0"/>
    <x v="2"/>
  </r>
  <r>
    <x v="0"/>
    <n v="8"/>
    <n v="0"/>
    <n v="0"/>
    <n v="0"/>
    <x v="5"/>
    <x v="1"/>
    <x v="1"/>
    <s v="Dhaka"/>
    <x v="0"/>
    <x v="0"/>
    <x v="4"/>
  </r>
  <r>
    <x v="1"/>
    <n v="52"/>
    <n v="0"/>
    <n v="0"/>
    <n v="1"/>
    <x v="0"/>
    <x v="0"/>
    <x v="0"/>
    <s v="Dhaka"/>
    <x v="0"/>
    <x v="0"/>
    <x v="0"/>
  </r>
  <r>
    <x v="0"/>
    <n v="10"/>
    <n v="1"/>
    <n v="1"/>
    <n v="1"/>
    <x v="7"/>
    <x v="1"/>
    <x v="2"/>
    <s v="Dhaka"/>
    <x v="1"/>
    <x v="1"/>
    <x v="4"/>
  </r>
  <r>
    <x v="1"/>
    <n v="22"/>
    <n v="1"/>
    <n v="1"/>
    <n v="0"/>
    <x v="7"/>
    <x v="0"/>
    <x v="0"/>
    <s v="Dhaka"/>
    <x v="1"/>
    <x v="1"/>
    <x v="2"/>
  </r>
  <r>
    <x v="1"/>
    <n v="23"/>
    <n v="1"/>
    <n v="1"/>
    <n v="0"/>
    <x v="17"/>
    <x v="1"/>
    <x v="2"/>
    <s v="Dhaka"/>
    <x v="1"/>
    <x v="1"/>
    <x v="2"/>
  </r>
  <r>
    <x v="0"/>
    <n v="13"/>
    <n v="0"/>
    <n v="0"/>
    <n v="1"/>
    <x v="35"/>
    <x v="0"/>
    <x v="2"/>
    <s v="Dhaka"/>
    <x v="0"/>
    <x v="0"/>
    <x v="1"/>
  </r>
  <r>
    <x v="0"/>
    <n v="22"/>
    <n v="0"/>
    <n v="0"/>
    <n v="0"/>
    <x v="8"/>
    <x v="1"/>
    <x v="0"/>
    <s v="Dhaka"/>
    <x v="0"/>
    <x v="0"/>
    <x v="2"/>
  </r>
  <r>
    <x v="1"/>
    <n v="64"/>
    <n v="1"/>
    <n v="1"/>
    <n v="1"/>
    <x v="15"/>
    <x v="0"/>
    <x v="0"/>
    <s v="Dhaka"/>
    <x v="1"/>
    <x v="1"/>
    <x v="3"/>
  </r>
  <r>
    <x v="0"/>
    <n v="9"/>
    <n v="0"/>
    <n v="0"/>
    <n v="0"/>
    <x v="25"/>
    <x v="1"/>
    <x v="2"/>
    <s v="Dhaka"/>
    <x v="0"/>
    <x v="0"/>
    <x v="4"/>
  </r>
  <r>
    <x v="0"/>
    <n v="26"/>
    <n v="0"/>
    <n v="0"/>
    <n v="0"/>
    <x v="25"/>
    <x v="0"/>
    <x v="2"/>
    <s v="Dhaka"/>
    <x v="0"/>
    <x v="0"/>
    <x v="2"/>
  </r>
  <r>
    <x v="1"/>
    <n v="32"/>
    <n v="0"/>
    <n v="0"/>
    <n v="0"/>
    <x v="15"/>
    <x v="1"/>
    <x v="2"/>
    <s v="Dhaka"/>
    <x v="0"/>
    <x v="0"/>
    <x v="2"/>
  </r>
  <r>
    <x v="0"/>
    <n v="48"/>
    <n v="0"/>
    <n v="0"/>
    <n v="1"/>
    <x v="30"/>
    <x v="0"/>
    <x v="0"/>
    <s v="Dhaka"/>
    <x v="0"/>
    <x v="0"/>
    <x v="0"/>
  </r>
  <r>
    <x v="1"/>
    <n v="48"/>
    <n v="0"/>
    <n v="1"/>
    <n v="0"/>
    <x v="10"/>
    <x v="1"/>
    <x v="1"/>
    <s v="Dhaka"/>
    <x v="1"/>
    <x v="1"/>
    <x v="0"/>
  </r>
  <r>
    <x v="0"/>
    <n v="33"/>
    <n v="0"/>
    <n v="0"/>
    <n v="0"/>
    <x v="6"/>
    <x v="0"/>
    <x v="1"/>
    <s v="Dhaka"/>
    <x v="0"/>
    <x v="0"/>
    <x v="2"/>
  </r>
  <r>
    <x v="0"/>
    <n v="36"/>
    <n v="0"/>
    <n v="0"/>
    <n v="0"/>
    <x v="27"/>
    <x v="1"/>
    <x v="1"/>
    <s v="Dhaka"/>
    <x v="0"/>
    <x v="0"/>
    <x v="0"/>
  </r>
  <r>
    <x v="0"/>
    <n v="32"/>
    <n v="0"/>
    <n v="0"/>
    <n v="0"/>
    <x v="29"/>
    <x v="0"/>
    <x v="1"/>
    <s v="Dhaka"/>
    <x v="0"/>
    <x v="0"/>
    <x v="2"/>
  </r>
  <r>
    <x v="1"/>
    <n v="53"/>
    <n v="0"/>
    <n v="0"/>
    <n v="0"/>
    <x v="3"/>
    <x v="1"/>
    <x v="0"/>
    <s v="Dhaka"/>
    <x v="0"/>
    <x v="0"/>
    <x v="0"/>
  </r>
  <r>
    <x v="0"/>
    <n v="9"/>
    <n v="1"/>
    <n v="1"/>
    <n v="0"/>
    <x v="6"/>
    <x v="0"/>
    <x v="1"/>
    <s v="Dhaka"/>
    <x v="1"/>
    <x v="1"/>
    <x v="4"/>
  </r>
  <r>
    <x v="1"/>
    <n v="9"/>
    <n v="1"/>
    <n v="1"/>
    <n v="0"/>
    <x v="13"/>
    <x v="1"/>
    <x v="0"/>
    <s v="Dhaka"/>
    <x v="1"/>
    <x v="1"/>
    <x v="4"/>
  </r>
  <r>
    <x v="1"/>
    <n v="40"/>
    <n v="0"/>
    <n v="0"/>
    <n v="1"/>
    <x v="7"/>
    <x v="0"/>
    <x v="0"/>
    <s v="Dhaka"/>
    <x v="0"/>
    <x v="0"/>
    <x v="0"/>
  </r>
  <r>
    <x v="0"/>
    <n v="55"/>
    <n v="1"/>
    <n v="1"/>
    <n v="1"/>
    <x v="20"/>
    <x v="1"/>
    <x v="2"/>
    <s v="Dhaka"/>
    <x v="1"/>
    <x v="1"/>
    <x v="0"/>
  </r>
  <r>
    <x v="1"/>
    <n v="34"/>
    <n v="0"/>
    <n v="0"/>
    <n v="1"/>
    <x v="14"/>
    <x v="0"/>
    <x v="2"/>
    <s v="Dhaka"/>
    <x v="0"/>
    <x v="0"/>
    <x v="2"/>
  </r>
  <r>
    <x v="0"/>
    <n v="19"/>
    <n v="1"/>
    <n v="1"/>
    <n v="1"/>
    <x v="15"/>
    <x v="1"/>
    <x v="0"/>
    <s v="Dhaka"/>
    <x v="1"/>
    <x v="1"/>
    <x v="2"/>
  </r>
  <r>
    <x v="1"/>
    <n v="48"/>
    <n v="1"/>
    <n v="1"/>
    <n v="1"/>
    <x v="28"/>
    <x v="0"/>
    <x v="1"/>
    <s v="Dhaka"/>
    <x v="1"/>
    <x v="1"/>
    <x v="0"/>
  </r>
  <r>
    <x v="0"/>
    <n v="30"/>
    <n v="1"/>
    <n v="1"/>
    <n v="0"/>
    <x v="0"/>
    <x v="1"/>
    <x v="0"/>
    <s v="Dhaka"/>
    <x v="1"/>
    <x v="1"/>
    <x v="2"/>
  </r>
  <r>
    <x v="0"/>
    <n v="27"/>
    <n v="0"/>
    <n v="0"/>
    <n v="0"/>
    <x v="30"/>
    <x v="0"/>
    <x v="0"/>
    <s v="Dhaka"/>
    <x v="0"/>
    <x v="0"/>
    <x v="2"/>
  </r>
  <r>
    <x v="1"/>
    <n v="49"/>
    <n v="0"/>
    <n v="0"/>
    <n v="0"/>
    <x v="11"/>
    <x v="1"/>
    <x v="1"/>
    <s v="Dhaka"/>
    <x v="0"/>
    <x v="0"/>
    <x v="0"/>
  </r>
  <r>
    <x v="0"/>
    <n v="28"/>
    <n v="0"/>
    <n v="0"/>
    <n v="1"/>
    <x v="17"/>
    <x v="0"/>
    <x v="1"/>
    <s v="Dhaka"/>
    <x v="0"/>
    <x v="0"/>
    <x v="2"/>
  </r>
  <r>
    <x v="0"/>
    <n v="29"/>
    <n v="1"/>
    <n v="1"/>
    <n v="1"/>
    <x v="24"/>
    <x v="1"/>
    <x v="2"/>
    <s v="Dhaka"/>
    <x v="1"/>
    <x v="1"/>
    <x v="2"/>
  </r>
  <r>
    <x v="1"/>
    <n v="65"/>
    <n v="1"/>
    <n v="1"/>
    <n v="0"/>
    <x v="8"/>
    <x v="0"/>
    <x v="2"/>
    <s v="Dhaka"/>
    <x v="1"/>
    <x v="1"/>
    <x v="3"/>
  </r>
  <r>
    <x v="1"/>
    <n v="36"/>
    <n v="0"/>
    <n v="0"/>
    <n v="1"/>
    <x v="27"/>
    <x v="1"/>
    <x v="0"/>
    <s v="Dhaka"/>
    <x v="0"/>
    <x v="0"/>
    <x v="0"/>
  </r>
  <r>
    <x v="0"/>
    <n v="55"/>
    <n v="1"/>
    <n v="1"/>
    <n v="0"/>
    <x v="9"/>
    <x v="0"/>
    <x v="0"/>
    <s v="Dhaka"/>
    <x v="1"/>
    <x v="1"/>
    <x v="0"/>
  </r>
  <r>
    <x v="1"/>
    <n v="22"/>
    <n v="0"/>
    <n v="0"/>
    <n v="1"/>
    <x v="24"/>
    <x v="1"/>
    <x v="0"/>
    <s v="Dhaka"/>
    <x v="0"/>
    <x v="0"/>
    <x v="2"/>
  </r>
  <r>
    <x v="1"/>
    <n v="26"/>
    <n v="1"/>
    <n v="1"/>
    <n v="0"/>
    <x v="6"/>
    <x v="0"/>
    <x v="2"/>
    <s v="Dhaka"/>
    <x v="1"/>
    <x v="1"/>
    <x v="2"/>
  </r>
  <r>
    <x v="1"/>
    <n v="31"/>
    <n v="1"/>
    <n v="1"/>
    <n v="0"/>
    <x v="21"/>
    <x v="1"/>
    <x v="2"/>
    <s v="Dhaka"/>
    <x v="1"/>
    <x v="1"/>
    <x v="2"/>
  </r>
  <r>
    <x v="0"/>
    <n v="50"/>
    <n v="0"/>
    <n v="0"/>
    <n v="0"/>
    <x v="29"/>
    <x v="0"/>
    <x v="0"/>
    <s v="Dhaka"/>
    <x v="0"/>
    <x v="0"/>
    <x v="0"/>
  </r>
  <r>
    <x v="1"/>
    <n v="25"/>
    <n v="0"/>
    <n v="0"/>
    <n v="0"/>
    <x v="18"/>
    <x v="1"/>
    <x v="2"/>
    <s v="Dhaka"/>
    <x v="0"/>
    <x v="0"/>
    <x v="2"/>
  </r>
  <r>
    <x v="0"/>
    <n v="34"/>
    <n v="1"/>
    <n v="1"/>
    <n v="0"/>
    <x v="6"/>
    <x v="0"/>
    <x v="0"/>
    <s v="Dhaka"/>
    <x v="1"/>
    <x v="1"/>
    <x v="2"/>
  </r>
  <r>
    <x v="0"/>
    <n v="54"/>
    <n v="0"/>
    <n v="0"/>
    <n v="0"/>
    <x v="0"/>
    <x v="1"/>
    <x v="2"/>
    <s v="Dhaka"/>
    <x v="0"/>
    <x v="0"/>
    <x v="0"/>
  </r>
  <r>
    <x v="0"/>
    <n v="35"/>
    <n v="1"/>
    <n v="1"/>
    <n v="0"/>
    <x v="23"/>
    <x v="0"/>
    <x v="0"/>
    <s v="Dhaka"/>
    <x v="1"/>
    <x v="1"/>
    <x v="2"/>
  </r>
  <r>
    <x v="1"/>
    <n v="29"/>
    <n v="1"/>
    <n v="1"/>
    <n v="1"/>
    <x v="10"/>
    <x v="1"/>
    <x v="0"/>
    <s v="Dhaka"/>
    <x v="1"/>
    <x v="1"/>
    <x v="2"/>
  </r>
  <r>
    <x v="0"/>
    <n v="18"/>
    <n v="1"/>
    <n v="1"/>
    <n v="0"/>
    <x v="29"/>
    <x v="0"/>
    <x v="1"/>
    <s v="Dhaka"/>
    <x v="1"/>
    <x v="1"/>
    <x v="1"/>
  </r>
  <r>
    <x v="0"/>
    <n v="12"/>
    <n v="1"/>
    <n v="1"/>
    <n v="1"/>
    <x v="35"/>
    <x v="1"/>
    <x v="2"/>
    <s v="Dhaka"/>
    <x v="1"/>
    <x v="1"/>
    <x v="4"/>
  </r>
  <r>
    <x v="0"/>
    <n v="19"/>
    <n v="0"/>
    <n v="0"/>
    <n v="0"/>
    <x v="22"/>
    <x v="0"/>
    <x v="1"/>
    <s v="Dhaka"/>
    <x v="0"/>
    <x v="0"/>
    <x v="2"/>
  </r>
  <r>
    <x v="0"/>
    <n v="38"/>
    <n v="1"/>
    <n v="1"/>
    <n v="0"/>
    <x v="9"/>
    <x v="1"/>
    <x v="1"/>
    <s v="Dhaka"/>
    <x v="1"/>
    <x v="1"/>
    <x v="0"/>
  </r>
  <r>
    <x v="1"/>
    <n v="46"/>
    <n v="0"/>
    <n v="0"/>
    <n v="0"/>
    <x v="24"/>
    <x v="0"/>
    <x v="1"/>
    <s v="Dhaka"/>
    <x v="0"/>
    <x v="0"/>
    <x v="0"/>
  </r>
  <r>
    <x v="0"/>
    <n v="9"/>
    <n v="1"/>
    <n v="1"/>
    <n v="0"/>
    <x v="7"/>
    <x v="1"/>
    <x v="0"/>
    <s v="Dhaka"/>
    <x v="1"/>
    <x v="1"/>
    <x v="4"/>
  </r>
  <r>
    <x v="0"/>
    <n v="42"/>
    <n v="1"/>
    <n v="1"/>
    <n v="1"/>
    <x v="13"/>
    <x v="0"/>
    <x v="0"/>
    <s v="Dhaka"/>
    <x v="1"/>
    <x v="1"/>
    <x v="0"/>
  </r>
  <r>
    <x v="1"/>
    <n v="23"/>
    <n v="0"/>
    <n v="0"/>
    <n v="1"/>
    <x v="2"/>
    <x v="1"/>
    <x v="0"/>
    <s v="Dhaka"/>
    <x v="0"/>
    <x v="0"/>
    <x v="2"/>
  </r>
  <r>
    <x v="0"/>
    <n v="45"/>
    <n v="1"/>
    <n v="1"/>
    <n v="1"/>
    <x v="2"/>
    <x v="0"/>
    <x v="0"/>
    <s v="Dhaka"/>
    <x v="1"/>
    <x v="1"/>
    <x v="0"/>
  </r>
  <r>
    <x v="0"/>
    <n v="29"/>
    <n v="1"/>
    <n v="1"/>
    <n v="1"/>
    <x v="2"/>
    <x v="1"/>
    <x v="0"/>
    <s v="Dhaka"/>
    <x v="1"/>
    <x v="1"/>
    <x v="2"/>
  </r>
  <r>
    <x v="1"/>
    <n v="31"/>
    <n v="1"/>
    <n v="1"/>
    <n v="1"/>
    <x v="33"/>
    <x v="0"/>
    <x v="2"/>
    <s v="Dhaka"/>
    <x v="1"/>
    <x v="1"/>
    <x v="2"/>
  </r>
  <r>
    <x v="1"/>
    <n v="34"/>
    <n v="0"/>
    <n v="0"/>
    <n v="0"/>
    <x v="18"/>
    <x v="1"/>
    <x v="2"/>
    <s v="Dhaka"/>
    <x v="0"/>
    <x v="0"/>
    <x v="2"/>
  </r>
  <r>
    <x v="0"/>
    <n v="61"/>
    <n v="1"/>
    <n v="1"/>
    <n v="1"/>
    <x v="35"/>
    <x v="0"/>
    <x v="2"/>
    <s v="Dhaka"/>
    <x v="1"/>
    <x v="1"/>
    <x v="3"/>
  </r>
  <r>
    <x v="0"/>
    <n v="26"/>
    <n v="1"/>
    <n v="1"/>
    <n v="1"/>
    <x v="22"/>
    <x v="1"/>
    <x v="2"/>
    <s v="Dhaka"/>
    <x v="1"/>
    <x v="1"/>
    <x v="2"/>
  </r>
  <r>
    <x v="0"/>
    <n v="52"/>
    <n v="0"/>
    <n v="0"/>
    <n v="0"/>
    <x v="18"/>
    <x v="0"/>
    <x v="1"/>
    <s v="Dhaka"/>
    <x v="0"/>
    <x v="0"/>
    <x v="0"/>
  </r>
  <r>
    <x v="0"/>
    <n v="24"/>
    <n v="0"/>
    <n v="0"/>
    <n v="0"/>
    <x v="8"/>
    <x v="1"/>
    <x v="2"/>
    <s v="Dhaka"/>
    <x v="0"/>
    <x v="0"/>
    <x v="2"/>
  </r>
  <r>
    <x v="1"/>
    <n v="19"/>
    <n v="0"/>
    <n v="0"/>
    <n v="1"/>
    <x v="19"/>
    <x v="0"/>
    <x v="0"/>
    <s v="Dhaka"/>
    <x v="0"/>
    <x v="0"/>
    <x v="2"/>
  </r>
  <r>
    <x v="0"/>
    <n v="47"/>
    <n v="1"/>
    <n v="1"/>
    <n v="0"/>
    <x v="30"/>
    <x v="1"/>
    <x v="2"/>
    <s v="Dhaka"/>
    <x v="1"/>
    <x v="1"/>
    <x v="0"/>
  </r>
  <r>
    <x v="0"/>
    <n v="14"/>
    <n v="1"/>
    <n v="1"/>
    <n v="1"/>
    <x v="10"/>
    <x v="0"/>
    <x v="2"/>
    <s v="Dhaka"/>
    <x v="1"/>
    <x v="1"/>
    <x v="1"/>
  </r>
  <r>
    <x v="1"/>
    <n v="62"/>
    <n v="1"/>
    <n v="1"/>
    <n v="0"/>
    <x v="19"/>
    <x v="1"/>
    <x v="2"/>
    <s v="Dhaka"/>
    <x v="1"/>
    <x v="1"/>
    <x v="3"/>
  </r>
  <r>
    <x v="1"/>
    <n v="53"/>
    <n v="1"/>
    <n v="1"/>
    <n v="1"/>
    <x v="0"/>
    <x v="0"/>
    <x v="2"/>
    <s v="Dhaka"/>
    <x v="1"/>
    <x v="1"/>
    <x v="0"/>
  </r>
  <r>
    <x v="1"/>
    <n v="49"/>
    <n v="0"/>
    <n v="0"/>
    <n v="1"/>
    <x v="29"/>
    <x v="1"/>
    <x v="2"/>
    <s v="Dhaka"/>
    <x v="0"/>
    <x v="0"/>
    <x v="0"/>
  </r>
  <r>
    <x v="0"/>
    <n v="51"/>
    <n v="0"/>
    <n v="0"/>
    <n v="1"/>
    <x v="11"/>
    <x v="0"/>
    <x v="0"/>
    <s v="Dhaka"/>
    <x v="0"/>
    <x v="0"/>
    <x v="0"/>
  </r>
  <r>
    <x v="0"/>
    <n v="61"/>
    <n v="0"/>
    <n v="0"/>
    <n v="0"/>
    <x v="17"/>
    <x v="1"/>
    <x v="0"/>
    <s v="Dhaka"/>
    <x v="0"/>
    <x v="0"/>
    <x v="3"/>
  </r>
  <r>
    <x v="0"/>
    <n v="35"/>
    <n v="1"/>
    <n v="1"/>
    <n v="0"/>
    <x v="17"/>
    <x v="0"/>
    <x v="0"/>
    <s v="Dhaka"/>
    <x v="1"/>
    <x v="1"/>
    <x v="2"/>
  </r>
  <r>
    <x v="0"/>
    <n v="45"/>
    <n v="0"/>
    <n v="0"/>
    <n v="1"/>
    <x v="32"/>
    <x v="1"/>
    <x v="2"/>
    <s v="Dhaka"/>
    <x v="0"/>
    <x v="0"/>
    <x v="0"/>
  </r>
  <r>
    <x v="1"/>
    <n v="25"/>
    <n v="1"/>
    <n v="1"/>
    <n v="1"/>
    <x v="21"/>
    <x v="0"/>
    <x v="0"/>
    <s v="Dhaka"/>
    <x v="1"/>
    <x v="1"/>
    <x v="2"/>
  </r>
  <r>
    <x v="0"/>
    <n v="53"/>
    <n v="1"/>
    <n v="1"/>
    <n v="0"/>
    <x v="15"/>
    <x v="1"/>
    <x v="0"/>
    <s v="Dhaka"/>
    <x v="1"/>
    <x v="1"/>
    <x v="0"/>
  </r>
  <r>
    <x v="0"/>
    <n v="37"/>
    <n v="1"/>
    <n v="1"/>
    <n v="0"/>
    <x v="4"/>
    <x v="0"/>
    <x v="0"/>
    <s v="Dhaka"/>
    <x v="1"/>
    <x v="1"/>
    <x v="0"/>
  </r>
  <r>
    <x v="1"/>
    <n v="25"/>
    <n v="0"/>
    <n v="0"/>
    <n v="1"/>
    <x v="34"/>
    <x v="1"/>
    <x v="0"/>
    <s v="Dhaka"/>
    <x v="0"/>
    <x v="0"/>
    <x v="2"/>
  </r>
  <r>
    <x v="1"/>
    <n v="38"/>
    <n v="1"/>
    <n v="1"/>
    <n v="1"/>
    <x v="20"/>
    <x v="0"/>
    <x v="2"/>
    <s v="Dhaka"/>
    <x v="1"/>
    <x v="1"/>
    <x v="0"/>
  </r>
  <r>
    <x v="0"/>
    <n v="50"/>
    <n v="1"/>
    <n v="1"/>
    <n v="0"/>
    <x v="34"/>
    <x v="1"/>
    <x v="1"/>
    <s v="Dhaka"/>
    <x v="1"/>
    <x v="1"/>
    <x v="0"/>
  </r>
  <r>
    <x v="1"/>
    <n v="30"/>
    <n v="1"/>
    <n v="1"/>
    <n v="1"/>
    <x v="30"/>
    <x v="0"/>
    <x v="0"/>
    <s v="Dhaka"/>
    <x v="1"/>
    <x v="1"/>
    <x v="2"/>
  </r>
  <r>
    <x v="0"/>
    <n v="20"/>
    <n v="0"/>
    <n v="0"/>
    <n v="0"/>
    <x v="1"/>
    <x v="1"/>
    <x v="0"/>
    <s v="Dhaka"/>
    <x v="0"/>
    <x v="0"/>
    <x v="2"/>
  </r>
  <r>
    <x v="1"/>
    <n v="44"/>
    <n v="1"/>
    <n v="1"/>
    <n v="0"/>
    <x v="13"/>
    <x v="0"/>
    <x v="1"/>
    <s v="Dhaka"/>
    <x v="1"/>
    <x v="1"/>
    <x v="0"/>
  </r>
  <r>
    <x v="0"/>
    <n v="57"/>
    <n v="0"/>
    <n v="0"/>
    <n v="1"/>
    <x v="26"/>
    <x v="1"/>
    <x v="0"/>
    <s v="Dhaka"/>
    <x v="0"/>
    <x v="0"/>
    <x v="0"/>
  </r>
  <r>
    <x v="1"/>
    <n v="19"/>
    <n v="1"/>
    <n v="1"/>
    <n v="1"/>
    <x v="16"/>
    <x v="0"/>
    <x v="1"/>
    <s v="Dhaka"/>
    <x v="1"/>
    <x v="1"/>
    <x v="2"/>
  </r>
  <r>
    <x v="0"/>
    <n v="34"/>
    <n v="0"/>
    <n v="0"/>
    <n v="0"/>
    <x v="24"/>
    <x v="1"/>
    <x v="1"/>
    <s v="Dhaka"/>
    <x v="0"/>
    <x v="0"/>
    <x v="2"/>
  </r>
  <r>
    <x v="0"/>
    <n v="42"/>
    <n v="1"/>
    <n v="1"/>
    <n v="1"/>
    <x v="12"/>
    <x v="0"/>
    <x v="1"/>
    <s v="Dhaka"/>
    <x v="1"/>
    <x v="1"/>
    <x v="0"/>
  </r>
  <r>
    <x v="0"/>
    <n v="48"/>
    <n v="1"/>
    <n v="1"/>
    <n v="1"/>
    <x v="31"/>
    <x v="1"/>
    <x v="1"/>
    <s v="Dhaka"/>
    <x v="1"/>
    <x v="1"/>
    <x v="0"/>
  </r>
  <r>
    <x v="1"/>
    <n v="45"/>
    <n v="1"/>
    <n v="1"/>
    <n v="1"/>
    <x v="10"/>
    <x v="0"/>
    <x v="0"/>
    <s v="Dhaka"/>
    <x v="1"/>
    <x v="1"/>
    <x v="0"/>
  </r>
  <r>
    <x v="0"/>
    <n v="48"/>
    <n v="0"/>
    <n v="0"/>
    <n v="1"/>
    <x v="27"/>
    <x v="1"/>
    <x v="2"/>
    <s v="Dhaka"/>
    <x v="0"/>
    <x v="0"/>
    <x v="0"/>
  </r>
  <r>
    <x v="0"/>
    <n v="50"/>
    <n v="1"/>
    <n v="1"/>
    <n v="0"/>
    <x v="6"/>
    <x v="0"/>
    <x v="1"/>
    <s v="Dhaka"/>
    <x v="1"/>
    <x v="1"/>
    <x v="0"/>
  </r>
  <r>
    <x v="0"/>
    <n v="37"/>
    <n v="0"/>
    <n v="0"/>
    <n v="1"/>
    <x v="7"/>
    <x v="1"/>
    <x v="0"/>
    <s v="Dhaka"/>
    <x v="0"/>
    <x v="0"/>
    <x v="0"/>
  </r>
  <r>
    <x v="0"/>
    <n v="28"/>
    <n v="1"/>
    <n v="1"/>
    <n v="0"/>
    <x v="19"/>
    <x v="0"/>
    <x v="2"/>
    <s v="Dhaka"/>
    <x v="1"/>
    <x v="1"/>
    <x v="2"/>
  </r>
  <r>
    <x v="1"/>
    <n v="51"/>
    <n v="1"/>
    <n v="1"/>
    <n v="1"/>
    <x v="22"/>
    <x v="1"/>
    <x v="1"/>
    <s v="Dhaka"/>
    <x v="1"/>
    <x v="1"/>
    <x v="0"/>
  </r>
  <r>
    <x v="0"/>
    <n v="37"/>
    <n v="1"/>
    <n v="1"/>
    <n v="1"/>
    <x v="15"/>
    <x v="0"/>
    <x v="0"/>
    <s v="Dhaka"/>
    <x v="1"/>
    <x v="1"/>
    <x v="0"/>
  </r>
  <r>
    <x v="0"/>
    <n v="12"/>
    <n v="0"/>
    <n v="0"/>
    <n v="1"/>
    <x v="8"/>
    <x v="1"/>
    <x v="0"/>
    <s v="Dhaka"/>
    <x v="0"/>
    <x v="0"/>
    <x v="4"/>
  </r>
  <r>
    <x v="1"/>
    <n v="65"/>
    <n v="1"/>
    <n v="1"/>
    <n v="0"/>
    <x v="15"/>
    <x v="0"/>
    <x v="1"/>
    <s v="Dhaka"/>
    <x v="1"/>
    <x v="1"/>
    <x v="3"/>
  </r>
  <r>
    <x v="0"/>
    <n v="44"/>
    <n v="1"/>
    <n v="1"/>
    <n v="0"/>
    <x v="9"/>
    <x v="1"/>
    <x v="0"/>
    <s v="Dhaka"/>
    <x v="1"/>
    <x v="1"/>
    <x v="0"/>
  </r>
  <r>
    <x v="1"/>
    <n v="52"/>
    <n v="1"/>
    <n v="1"/>
    <n v="0"/>
    <x v="6"/>
    <x v="0"/>
    <x v="0"/>
    <s v="Dhaka"/>
    <x v="1"/>
    <x v="1"/>
    <x v="0"/>
  </r>
  <r>
    <x v="0"/>
    <n v="10"/>
    <n v="1"/>
    <n v="1"/>
    <n v="1"/>
    <x v="26"/>
    <x v="1"/>
    <x v="2"/>
    <s v="Dhaka"/>
    <x v="1"/>
    <x v="1"/>
    <x v="4"/>
  </r>
  <r>
    <x v="1"/>
    <n v="16"/>
    <n v="1"/>
    <n v="1"/>
    <n v="0"/>
    <x v="22"/>
    <x v="0"/>
    <x v="0"/>
    <s v="Dhaka"/>
    <x v="1"/>
    <x v="1"/>
    <x v="1"/>
  </r>
  <r>
    <x v="0"/>
    <n v="17"/>
    <n v="1"/>
    <n v="1"/>
    <n v="0"/>
    <x v="20"/>
    <x v="1"/>
    <x v="1"/>
    <s v="Dhaka"/>
    <x v="1"/>
    <x v="1"/>
    <x v="1"/>
  </r>
  <r>
    <x v="0"/>
    <n v="63"/>
    <n v="0"/>
    <n v="0"/>
    <n v="1"/>
    <x v="25"/>
    <x v="0"/>
    <x v="1"/>
    <s v="Dhaka"/>
    <x v="0"/>
    <x v="0"/>
    <x v="3"/>
  </r>
  <r>
    <x v="0"/>
    <n v="29"/>
    <n v="1"/>
    <n v="1"/>
    <n v="1"/>
    <x v="0"/>
    <x v="1"/>
    <x v="1"/>
    <s v="Dhaka"/>
    <x v="1"/>
    <x v="1"/>
    <x v="2"/>
  </r>
  <r>
    <x v="1"/>
    <n v="62"/>
    <n v="0"/>
    <n v="0"/>
    <n v="1"/>
    <x v="19"/>
    <x v="0"/>
    <x v="0"/>
    <s v="Dhaka"/>
    <x v="0"/>
    <x v="0"/>
    <x v="3"/>
  </r>
  <r>
    <x v="0"/>
    <n v="16"/>
    <n v="0"/>
    <n v="0"/>
    <n v="0"/>
    <x v="7"/>
    <x v="1"/>
    <x v="2"/>
    <s v="Dhaka"/>
    <x v="0"/>
    <x v="0"/>
    <x v="1"/>
  </r>
  <r>
    <x v="1"/>
    <n v="8"/>
    <n v="0"/>
    <n v="0"/>
    <n v="0"/>
    <x v="4"/>
    <x v="0"/>
    <x v="0"/>
    <s v="Dhaka"/>
    <x v="0"/>
    <x v="0"/>
    <x v="4"/>
  </r>
  <r>
    <x v="0"/>
    <n v="10"/>
    <n v="1"/>
    <n v="1"/>
    <n v="0"/>
    <x v="33"/>
    <x v="1"/>
    <x v="2"/>
    <s v="Dhaka"/>
    <x v="1"/>
    <x v="1"/>
    <x v="4"/>
  </r>
  <r>
    <x v="0"/>
    <n v="40"/>
    <n v="1"/>
    <n v="1"/>
    <n v="0"/>
    <x v="13"/>
    <x v="0"/>
    <x v="2"/>
    <s v="Dhaka"/>
    <x v="1"/>
    <x v="1"/>
    <x v="0"/>
  </r>
  <r>
    <x v="0"/>
    <n v="51"/>
    <n v="0"/>
    <n v="0"/>
    <n v="1"/>
    <x v="1"/>
    <x v="1"/>
    <x v="1"/>
    <s v="Dhaka"/>
    <x v="0"/>
    <x v="0"/>
    <x v="0"/>
  </r>
  <r>
    <x v="0"/>
    <n v="40"/>
    <n v="1"/>
    <n v="1"/>
    <n v="1"/>
    <x v="26"/>
    <x v="0"/>
    <x v="0"/>
    <s v="Dhaka"/>
    <x v="1"/>
    <x v="1"/>
    <x v="0"/>
  </r>
  <r>
    <x v="0"/>
    <n v="50"/>
    <n v="0"/>
    <n v="0"/>
    <n v="0"/>
    <x v="7"/>
    <x v="1"/>
    <x v="1"/>
    <s v="Dhaka"/>
    <x v="0"/>
    <x v="0"/>
    <x v="0"/>
  </r>
  <r>
    <x v="1"/>
    <n v="20"/>
    <n v="1"/>
    <n v="1"/>
    <n v="1"/>
    <x v="0"/>
    <x v="0"/>
    <x v="2"/>
    <s v="Dhaka"/>
    <x v="1"/>
    <x v="1"/>
    <x v="2"/>
  </r>
  <r>
    <x v="0"/>
    <n v="27"/>
    <n v="0"/>
    <n v="0"/>
    <n v="0"/>
    <x v="4"/>
    <x v="1"/>
    <x v="1"/>
    <s v="Dhaka"/>
    <x v="0"/>
    <x v="0"/>
    <x v="2"/>
  </r>
  <r>
    <x v="0"/>
    <n v="65"/>
    <n v="0"/>
    <n v="0"/>
    <n v="0"/>
    <x v="3"/>
    <x v="0"/>
    <x v="2"/>
    <s v="Dhaka"/>
    <x v="0"/>
    <x v="0"/>
    <x v="3"/>
  </r>
  <r>
    <x v="0"/>
    <n v="10"/>
    <n v="1"/>
    <n v="1"/>
    <n v="1"/>
    <x v="32"/>
    <x v="1"/>
    <x v="2"/>
    <s v="Dhaka"/>
    <x v="1"/>
    <x v="1"/>
    <x v="4"/>
  </r>
  <r>
    <x v="0"/>
    <n v="33"/>
    <n v="1"/>
    <n v="1"/>
    <n v="1"/>
    <x v="3"/>
    <x v="0"/>
    <x v="2"/>
    <s v="Dhaka"/>
    <x v="1"/>
    <x v="1"/>
    <x v="2"/>
  </r>
  <r>
    <x v="1"/>
    <n v="20"/>
    <n v="1"/>
    <n v="1"/>
    <n v="1"/>
    <x v="3"/>
    <x v="1"/>
    <x v="2"/>
    <s v="Dhaka"/>
    <x v="1"/>
    <x v="1"/>
    <x v="2"/>
  </r>
  <r>
    <x v="0"/>
    <n v="44"/>
    <n v="1"/>
    <n v="1"/>
    <n v="1"/>
    <x v="7"/>
    <x v="0"/>
    <x v="0"/>
    <s v="Dhaka"/>
    <x v="1"/>
    <x v="1"/>
    <x v="0"/>
  </r>
  <r>
    <x v="1"/>
    <n v="62"/>
    <n v="0"/>
    <n v="0"/>
    <n v="0"/>
    <x v="7"/>
    <x v="1"/>
    <x v="0"/>
    <s v="Dhaka"/>
    <x v="0"/>
    <x v="0"/>
    <x v="3"/>
  </r>
  <r>
    <x v="1"/>
    <n v="62"/>
    <n v="1"/>
    <n v="1"/>
    <n v="0"/>
    <x v="32"/>
    <x v="0"/>
    <x v="1"/>
    <s v="Dhaka"/>
    <x v="1"/>
    <x v="1"/>
    <x v="3"/>
  </r>
  <r>
    <x v="1"/>
    <n v="54"/>
    <n v="1"/>
    <n v="1"/>
    <n v="1"/>
    <x v="20"/>
    <x v="1"/>
    <x v="0"/>
    <s v="Dhaka"/>
    <x v="1"/>
    <x v="1"/>
    <x v="0"/>
  </r>
  <r>
    <x v="1"/>
    <n v="62"/>
    <n v="0"/>
    <n v="0"/>
    <n v="1"/>
    <x v="2"/>
    <x v="0"/>
    <x v="2"/>
    <s v="Dhaka"/>
    <x v="0"/>
    <x v="0"/>
    <x v="3"/>
  </r>
  <r>
    <x v="1"/>
    <n v="58"/>
    <n v="1"/>
    <n v="1"/>
    <n v="0"/>
    <x v="7"/>
    <x v="1"/>
    <x v="0"/>
    <s v="Dhaka"/>
    <x v="1"/>
    <x v="1"/>
    <x v="0"/>
  </r>
  <r>
    <x v="1"/>
    <n v="10"/>
    <n v="1"/>
    <n v="1"/>
    <n v="1"/>
    <x v="8"/>
    <x v="0"/>
    <x v="1"/>
    <s v="Dhaka"/>
    <x v="1"/>
    <x v="1"/>
    <x v="4"/>
  </r>
  <r>
    <x v="0"/>
    <n v="47"/>
    <n v="0"/>
    <n v="0"/>
    <n v="1"/>
    <x v="21"/>
    <x v="1"/>
    <x v="0"/>
    <s v="Dhaka"/>
    <x v="0"/>
    <x v="0"/>
    <x v="0"/>
  </r>
  <r>
    <x v="0"/>
    <n v="20"/>
    <n v="0"/>
    <n v="0"/>
    <n v="1"/>
    <x v="18"/>
    <x v="0"/>
    <x v="2"/>
    <s v="Dhaka"/>
    <x v="0"/>
    <x v="0"/>
    <x v="2"/>
  </r>
  <r>
    <x v="1"/>
    <n v="60"/>
    <n v="0"/>
    <n v="0"/>
    <n v="1"/>
    <x v="18"/>
    <x v="1"/>
    <x v="0"/>
    <s v="Dhaka"/>
    <x v="0"/>
    <x v="0"/>
    <x v="0"/>
  </r>
  <r>
    <x v="0"/>
    <n v="28"/>
    <n v="0"/>
    <n v="0"/>
    <n v="0"/>
    <x v="31"/>
    <x v="0"/>
    <x v="2"/>
    <s v="Dhaka"/>
    <x v="0"/>
    <x v="0"/>
    <x v="2"/>
  </r>
  <r>
    <x v="0"/>
    <n v="21"/>
    <n v="1"/>
    <n v="1"/>
    <n v="1"/>
    <x v="34"/>
    <x v="1"/>
    <x v="0"/>
    <s v="Dhaka"/>
    <x v="1"/>
    <x v="1"/>
    <x v="2"/>
  </r>
  <r>
    <x v="0"/>
    <n v="48"/>
    <n v="1"/>
    <n v="1"/>
    <n v="1"/>
    <x v="35"/>
    <x v="0"/>
    <x v="1"/>
    <s v="Dhaka"/>
    <x v="1"/>
    <x v="1"/>
    <x v="0"/>
  </r>
  <r>
    <x v="1"/>
    <n v="45"/>
    <n v="0"/>
    <n v="0"/>
    <n v="0"/>
    <x v="17"/>
    <x v="1"/>
    <x v="1"/>
    <s v="Dhaka"/>
    <x v="0"/>
    <x v="0"/>
    <x v="0"/>
  </r>
  <r>
    <x v="1"/>
    <n v="23"/>
    <n v="1"/>
    <n v="1"/>
    <n v="0"/>
    <x v="30"/>
    <x v="0"/>
    <x v="0"/>
    <s v="Dhaka"/>
    <x v="1"/>
    <x v="1"/>
    <x v="2"/>
  </r>
  <r>
    <x v="0"/>
    <n v="52"/>
    <n v="0"/>
    <n v="0"/>
    <n v="0"/>
    <x v="17"/>
    <x v="1"/>
    <x v="2"/>
    <s v="Dhaka"/>
    <x v="0"/>
    <x v="0"/>
    <x v="0"/>
  </r>
  <r>
    <x v="1"/>
    <n v="28"/>
    <n v="1"/>
    <n v="1"/>
    <n v="1"/>
    <x v="34"/>
    <x v="0"/>
    <x v="0"/>
    <s v="Dhaka"/>
    <x v="1"/>
    <x v="1"/>
    <x v="2"/>
  </r>
  <r>
    <x v="1"/>
    <n v="19"/>
    <n v="0"/>
    <n v="0"/>
    <n v="0"/>
    <x v="13"/>
    <x v="1"/>
    <x v="1"/>
    <s v="Dhaka"/>
    <x v="0"/>
    <x v="0"/>
    <x v="2"/>
  </r>
  <r>
    <x v="1"/>
    <n v="46"/>
    <n v="1"/>
    <n v="1"/>
    <n v="1"/>
    <x v="16"/>
    <x v="0"/>
    <x v="0"/>
    <s v="Dhaka"/>
    <x v="1"/>
    <x v="1"/>
    <x v="0"/>
  </r>
  <r>
    <x v="0"/>
    <n v="61"/>
    <n v="0"/>
    <n v="0"/>
    <n v="0"/>
    <x v="4"/>
    <x v="1"/>
    <x v="2"/>
    <s v="Dhaka"/>
    <x v="0"/>
    <x v="0"/>
    <x v="3"/>
  </r>
  <r>
    <x v="0"/>
    <n v="32"/>
    <n v="0"/>
    <n v="0"/>
    <n v="0"/>
    <x v="2"/>
    <x v="0"/>
    <x v="0"/>
    <s v="Dhaka"/>
    <x v="0"/>
    <x v="0"/>
    <x v="2"/>
  </r>
  <r>
    <x v="1"/>
    <n v="10"/>
    <n v="1"/>
    <n v="1"/>
    <n v="1"/>
    <x v="16"/>
    <x v="1"/>
    <x v="1"/>
    <s v="Dhaka"/>
    <x v="1"/>
    <x v="1"/>
    <x v="4"/>
  </r>
  <r>
    <x v="1"/>
    <n v="27"/>
    <n v="1"/>
    <n v="1"/>
    <n v="1"/>
    <x v="6"/>
    <x v="0"/>
    <x v="1"/>
    <s v="Dhaka"/>
    <x v="1"/>
    <x v="1"/>
    <x v="2"/>
  </r>
  <r>
    <x v="0"/>
    <n v="56"/>
    <n v="0"/>
    <n v="0"/>
    <n v="0"/>
    <x v="9"/>
    <x v="1"/>
    <x v="0"/>
    <s v="Dhaka"/>
    <x v="0"/>
    <x v="0"/>
    <x v="0"/>
  </r>
  <r>
    <x v="1"/>
    <n v="26"/>
    <n v="0"/>
    <n v="0"/>
    <n v="0"/>
    <x v="24"/>
    <x v="0"/>
    <x v="0"/>
    <s v="Dhaka"/>
    <x v="0"/>
    <x v="0"/>
    <x v="2"/>
  </r>
  <r>
    <x v="1"/>
    <n v="15"/>
    <n v="1"/>
    <n v="1"/>
    <n v="0"/>
    <x v="4"/>
    <x v="1"/>
    <x v="1"/>
    <s v="Dhaka"/>
    <x v="1"/>
    <x v="1"/>
    <x v="1"/>
  </r>
  <r>
    <x v="0"/>
    <n v="10"/>
    <n v="1"/>
    <n v="1"/>
    <n v="1"/>
    <x v="4"/>
    <x v="0"/>
    <x v="1"/>
    <s v="Dhaka"/>
    <x v="1"/>
    <x v="1"/>
    <x v="4"/>
  </r>
  <r>
    <x v="1"/>
    <n v="24"/>
    <n v="1"/>
    <n v="1"/>
    <n v="1"/>
    <x v="16"/>
    <x v="1"/>
    <x v="2"/>
    <s v="Dhaka"/>
    <x v="1"/>
    <x v="1"/>
    <x v="2"/>
  </r>
  <r>
    <x v="0"/>
    <n v="51"/>
    <n v="0"/>
    <n v="0"/>
    <n v="1"/>
    <x v="28"/>
    <x v="0"/>
    <x v="2"/>
    <s v="Dhaka"/>
    <x v="0"/>
    <x v="0"/>
    <x v="0"/>
  </r>
  <r>
    <x v="0"/>
    <n v="41"/>
    <n v="0"/>
    <n v="0"/>
    <n v="1"/>
    <x v="2"/>
    <x v="1"/>
    <x v="1"/>
    <s v="Dhaka"/>
    <x v="0"/>
    <x v="0"/>
    <x v="0"/>
  </r>
  <r>
    <x v="1"/>
    <n v="65"/>
    <n v="1"/>
    <n v="1"/>
    <n v="0"/>
    <x v="28"/>
    <x v="0"/>
    <x v="0"/>
    <s v="Dhaka"/>
    <x v="1"/>
    <x v="1"/>
    <x v="3"/>
  </r>
  <r>
    <x v="0"/>
    <n v="51"/>
    <n v="0"/>
    <n v="0"/>
    <n v="1"/>
    <x v="5"/>
    <x v="1"/>
    <x v="0"/>
    <s v="Dhaka"/>
    <x v="0"/>
    <x v="0"/>
    <x v="0"/>
  </r>
  <r>
    <x v="1"/>
    <n v="18"/>
    <n v="0"/>
    <n v="0"/>
    <n v="0"/>
    <x v="6"/>
    <x v="0"/>
    <x v="0"/>
    <s v="Dhaka"/>
    <x v="0"/>
    <x v="0"/>
    <x v="1"/>
  </r>
  <r>
    <x v="1"/>
    <n v="31"/>
    <n v="0"/>
    <n v="0"/>
    <n v="1"/>
    <x v="24"/>
    <x v="1"/>
    <x v="0"/>
    <s v="Dhaka"/>
    <x v="0"/>
    <x v="0"/>
    <x v="2"/>
  </r>
  <r>
    <x v="1"/>
    <n v="30"/>
    <n v="1"/>
    <n v="1"/>
    <n v="0"/>
    <x v="30"/>
    <x v="0"/>
    <x v="0"/>
    <s v="Dhaka"/>
    <x v="1"/>
    <x v="1"/>
    <x v="2"/>
  </r>
  <r>
    <x v="1"/>
    <n v="14"/>
    <n v="1"/>
    <n v="1"/>
    <n v="1"/>
    <x v="26"/>
    <x v="1"/>
    <x v="2"/>
    <s v="Dhaka"/>
    <x v="1"/>
    <x v="1"/>
    <x v="1"/>
  </r>
  <r>
    <x v="1"/>
    <n v="17"/>
    <n v="1"/>
    <n v="1"/>
    <n v="0"/>
    <x v="6"/>
    <x v="0"/>
    <x v="1"/>
    <s v="Dhaka"/>
    <x v="1"/>
    <x v="1"/>
    <x v="1"/>
  </r>
  <r>
    <x v="1"/>
    <n v="63"/>
    <n v="1"/>
    <n v="1"/>
    <n v="0"/>
    <x v="29"/>
    <x v="1"/>
    <x v="2"/>
    <s v="Dhaka"/>
    <x v="1"/>
    <x v="1"/>
    <x v="3"/>
  </r>
  <r>
    <x v="1"/>
    <n v="49"/>
    <n v="1"/>
    <n v="1"/>
    <n v="0"/>
    <x v="1"/>
    <x v="0"/>
    <x v="0"/>
    <s v="Dhaka"/>
    <x v="1"/>
    <x v="1"/>
    <x v="0"/>
  </r>
  <r>
    <x v="0"/>
    <n v="55"/>
    <n v="0"/>
    <n v="0"/>
    <n v="0"/>
    <x v="31"/>
    <x v="1"/>
    <x v="0"/>
    <s v="Dhaka"/>
    <x v="0"/>
    <x v="0"/>
    <x v="0"/>
  </r>
  <r>
    <x v="0"/>
    <n v="17"/>
    <n v="1"/>
    <n v="1"/>
    <n v="0"/>
    <x v="21"/>
    <x v="0"/>
    <x v="1"/>
    <s v="Dhaka"/>
    <x v="1"/>
    <x v="1"/>
    <x v="1"/>
  </r>
  <r>
    <x v="1"/>
    <n v="17"/>
    <n v="0"/>
    <n v="0"/>
    <n v="1"/>
    <x v="6"/>
    <x v="1"/>
    <x v="2"/>
    <s v="Dhaka"/>
    <x v="0"/>
    <x v="0"/>
    <x v="1"/>
  </r>
  <r>
    <x v="1"/>
    <n v="55"/>
    <n v="1"/>
    <n v="1"/>
    <n v="1"/>
    <x v="16"/>
    <x v="0"/>
    <x v="0"/>
    <s v="Dhaka"/>
    <x v="1"/>
    <x v="1"/>
    <x v="0"/>
  </r>
  <r>
    <x v="0"/>
    <n v="57"/>
    <n v="1"/>
    <n v="1"/>
    <n v="0"/>
    <x v="27"/>
    <x v="1"/>
    <x v="1"/>
    <s v="Dhaka"/>
    <x v="1"/>
    <x v="1"/>
    <x v="0"/>
  </r>
  <r>
    <x v="1"/>
    <n v="45"/>
    <n v="0"/>
    <n v="0"/>
    <n v="0"/>
    <x v="9"/>
    <x v="0"/>
    <x v="2"/>
    <s v="Dhaka"/>
    <x v="0"/>
    <x v="0"/>
    <x v="0"/>
  </r>
  <r>
    <x v="0"/>
    <n v="37"/>
    <n v="0"/>
    <n v="0"/>
    <n v="0"/>
    <x v="10"/>
    <x v="1"/>
    <x v="0"/>
    <s v="Dhaka"/>
    <x v="0"/>
    <x v="0"/>
    <x v="0"/>
  </r>
  <r>
    <x v="1"/>
    <n v="47"/>
    <n v="1"/>
    <n v="1"/>
    <n v="1"/>
    <x v="16"/>
    <x v="0"/>
    <x v="1"/>
    <s v="Dhaka"/>
    <x v="1"/>
    <x v="1"/>
    <x v="0"/>
  </r>
  <r>
    <x v="0"/>
    <n v="49"/>
    <n v="1"/>
    <n v="1"/>
    <n v="1"/>
    <x v="12"/>
    <x v="1"/>
    <x v="2"/>
    <s v="Dhaka"/>
    <x v="1"/>
    <x v="1"/>
    <x v="0"/>
  </r>
  <r>
    <x v="0"/>
    <n v="32"/>
    <n v="1"/>
    <n v="1"/>
    <n v="0"/>
    <x v="13"/>
    <x v="0"/>
    <x v="2"/>
    <s v="Dhaka"/>
    <x v="1"/>
    <x v="1"/>
    <x v="2"/>
  </r>
  <r>
    <x v="1"/>
    <n v="33"/>
    <n v="1"/>
    <n v="1"/>
    <n v="0"/>
    <x v="14"/>
    <x v="1"/>
    <x v="0"/>
    <s v="Dhaka"/>
    <x v="1"/>
    <x v="1"/>
    <x v="2"/>
  </r>
  <r>
    <x v="0"/>
    <n v="25"/>
    <n v="0"/>
    <n v="0"/>
    <n v="0"/>
    <x v="16"/>
    <x v="0"/>
    <x v="1"/>
    <s v="Dhaka"/>
    <x v="0"/>
    <x v="0"/>
    <x v="2"/>
  </r>
  <r>
    <x v="1"/>
    <n v="24"/>
    <n v="0"/>
    <n v="0"/>
    <n v="0"/>
    <x v="28"/>
    <x v="1"/>
    <x v="0"/>
    <s v="Dhaka"/>
    <x v="0"/>
    <x v="0"/>
    <x v="2"/>
  </r>
  <r>
    <x v="1"/>
    <n v="22"/>
    <n v="0"/>
    <n v="0"/>
    <n v="0"/>
    <x v="32"/>
    <x v="0"/>
    <x v="0"/>
    <s v="Dhaka"/>
    <x v="0"/>
    <x v="0"/>
    <x v="2"/>
  </r>
  <r>
    <x v="0"/>
    <n v="52"/>
    <n v="1"/>
    <n v="1"/>
    <n v="1"/>
    <x v="3"/>
    <x v="1"/>
    <x v="0"/>
    <s v="Dhaka"/>
    <x v="1"/>
    <x v="1"/>
    <x v="0"/>
  </r>
  <r>
    <x v="0"/>
    <n v="16"/>
    <n v="1"/>
    <n v="1"/>
    <n v="0"/>
    <x v="8"/>
    <x v="0"/>
    <x v="2"/>
    <s v="Dhaka"/>
    <x v="1"/>
    <x v="1"/>
    <x v="1"/>
  </r>
  <r>
    <x v="0"/>
    <n v="19"/>
    <n v="0"/>
    <n v="0"/>
    <n v="0"/>
    <x v="5"/>
    <x v="1"/>
    <x v="0"/>
    <s v="Dhaka"/>
    <x v="0"/>
    <x v="0"/>
    <x v="2"/>
  </r>
  <r>
    <x v="0"/>
    <n v="31"/>
    <n v="0"/>
    <n v="0"/>
    <n v="1"/>
    <x v="6"/>
    <x v="0"/>
    <x v="1"/>
    <s v="Dhaka"/>
    <x v="0"/>
    <x v="0"/>
    <x v="2"/>
  </r>
  <r>
    <x v="1"/>
    <n v="46"/>
    <n v="0"/>
    <n v="0"/>
    <n v="1"/>
    <x v="29"/>
    <x v="1"/>
    <x v="1"/>
    <s v="Dhaka"/>
    <x v="0"/>
    <x v="0"/>
    <x v="0"/>
  </r>
  <r>
    <x v="1"/>
    <n v="61"/>
    <n v="1"/>
    <n v="1"/>
    <n v="0"/>
    <x v="18"/>
    <x v="0"/>
    <x v="2"/>
    <s v="Dhaka"/>
    <x v="1"/>
    <x v="1"/>
    <x v="3"/>
  </r>
  <r>
    <x v="0"/>
    <n v="35"/>
    <n v="0"/>
    <n v="0"/>
    <n v="0"/>
    <x v="18"/>
    <x v="1"/>
    <x v="2"/>
    <s v="Dhaka"/>
    <x v="0"/>
    <x v="0"/>
    <x v="2"/>
  </r>
  <r>
    <x v="0"/>
    <n v="44"/>
    <n v="1"/>
    <n v="1"/>
    <n v="1"/>
    <x v="8"/>
    <x v="0"/>
    <x v="1"/>
    <s v="Dhaka"/>
    <x v="1"/>
    <x v="1"/>
    <x v="0"/>
  </r>
  <r>
    <x v="0"/>
    <n v="12"/>
    <n v="0"/>
    <n v="0"/>
    <n v="1"/>
    <x v="20"/>
    <x v="1"/>
    <x v="2"/>
    <s v="Dhaka"/>
    <x v="0"/>
    <x v="0"/>
    <x v="4"/>
  </r>
  <r>
    <x v="1"/>
    <n v="51"/>
    <n v="1"/>
    <n v="1"/>
    <n v="0"/>
    <x v="9"/>
    <x v="0"/>
    <x v="1"/>
    <s v="Dhaka"/>
    <x v="1"/>
    <x v="1"/>
    <x v="0"/>
  </r>
  <r>
    <x v="0"/>
    <n v="33"/>
    <n v="1"/>
    <n v="1"/>
    <n v="1"/>
    <x v="10"/>
    <x v="1"/>
    <x v="1"/>
    <s v="Dhaka"/>
    <x v="1"/>
    <x v="1"/>
    <x v="2"/>
  </r>
  <r>
    <x v="0"/>
    <n v="53"/>
    <n v="1"/>
    <n v="1"/>
    <n v="1"/>
    <x v="15"/>
    <x v="0"/>
    <x v="0"/>
    <s v="Dhaka"/>
    <x v="1"/>
    <x v="1"/>
    <x v="0"/>
  </r>
  <r>
    <x v="1"/>
    <n v="22"/>
    <n v="0"/>
    <n v="0"/>
    <n v="0"/>
    <x v="23"/>
    <x v="1"/>
    <x v="2"/>
    <s v="Dhaka"/>
    <x v="0"/>
    <x v="0"/>
    <x v="2"/>
  </r>
  <r>
    <x v="1"/>
    <n v="32"/>
    <n v="0"/>
    <n v="0"/>
    <n v="0"/>
    <x v="17"/>
    <x v="0"/>
    <x v="1"/>
    <s v="Dhaka"/>
    <x v="0"/>
    <x v="0"/>
    <x v="2"/>
  </r>
  <r>
    <x v="1"/>
    <n v="36"/>
    <n v="0"/>
    <n v="0"/>
    <n v="1"/>
    <x v="19"/>
    <x v="1"/>
    <x v="2"/>
    <s v="Dhaka"/>
    <x v="0"/>
    <x v="0"/>
    <x v="0"/>
  </r>
  <r>
    <x v="0"/>
    <n v="14"/>
    <n v="0"/>
    <n v="0"/>
    <n v="0"/>
    <x v="6"/>
    <x v="0"/>
    <x v="2"/>
    <s v="Dhaka"/>
    <x v="0"/>
    <x v="0"/>
    <x v="1"/>
  </r>
  <r>
    <x v="1"/>
    <n v="18"/>
    <n v="1"/>
    <n v="1"/>
    <n v="0"/>
    <x v="21"/>
    <x v="1"/>
    <x v="1"/>
    <s v="Dhaka"/>
    <x v="1"/>
    <x v="1"/>
    <x v="1"/>
  </r>
  <r>
    <x v="1"/>
    <n v="52"/>
    <n v="1"/>
    <n v="1"/>
    <n v="1"/>
    <x v="29"/>
    <x v="0"/>
    <x v="0"/>
    <s v="Dhaka"/>
    <x v="1"/>
    <x v="1"/>
    <x v="0"/>
  </r>
  <r>
    <x v="0"/>
    <n v="62"/>
    <n v="0"/>
    <n v="0"/>
    <n v="1"/>
    <x v="13"/>
    <x v="1"/>
    <x v="0"/>
    <s v="Dhaka"/>
    <x v="0"/>
    <x v="0"/>
    <x v="3"/>
  </r>
  <r>
    <x v="0"/>
    <n v="41"/>
    <n v="0"/>
    <n v="0"/>
    <n v="1"/>
    <x v="29"/>
    <x v="0"/>
    <x v="1"/>
    <s v="Dhaka"/>
    <x v="0"/>
    <x v="0"/>
    <x v="0"/>
  </r>
  <r>
    <x v="0"/>
    <n v="25"/>
    <n v="0"/>
    <n v="0"/>
    <n v="1"/>
    <x v="8"/>
    <x v="1"/>
    <x v="1"/>
    <s v="Dhaka"/>
    <x v="0"/>
    <x v="0"/>
    <x v="2"/>
  </r>
  <r>
    <x v="1"/>
    <n v="31"/>
    <n v="1"/>
    <n v="1"/>
    <n v="0"/>
    <x v="26"/>
    <x v="0"/>
    <x v="1"/>
    <s v="Dhaka"/>
    <x v="1"/>
    <x v="1"/>
    <x v="2"/>
  </r>
  <r>
    <x v="0"/>
    <n v="49"/>
    <n v="0"/>
    <n v="0"/>
    <n v="0"/>
    <x v="19"/>
    <x v="1"/>
    <x v="0"/>
    <s v="Dhaka"/>
    <x v="0"/>
    <x v="0"/>
    <x v="0"/>
  </r>
  <r>
    <x v="0"/>
    <n v="39"/>
    <n v="1"/>
    <n v="1"/>
    <n v="1"/>
    <x v="20"/>
    <x v="0"/>
    <x v="1"/>
    <s v="Dhaka"/>
    <x v="1"/>
    <x v="1"/>
    <x v="0"/>
  </r>
  <r>
    <x v="0"/>
    <n v="26"/>
    <n v="0"/>
    <n v="0"/>
    <n v="0"/>
    <x v="7"/>
    <x v="1"/>
    <x v="1"/>
    <s v="Dhaka"/>
    <x v="0"/>
    <x v="0"/>
    <x v="2"/>
  </r>
  <r>
    <x v="1"/>
    <n v="24"/>
    <n v="0"/>
    <n v="0"/>
    <n v="0"/>
    <x v="22"/>
    <x v="0"/>
    <x v="2"/>
    <s v="Dhaka"/>
    <x v="0"/>
    <x v="0"/>
    <x v="2"/>
  </r>
  <r>
    <x v="1"/>
    <n v="30"/>
    <n v="0"/>
    <n v="0"/>
    <n v="0"/>
    <x v="14"/>
    <x v="1"/>
    <x v="2"/>
    <s v="Dhaka"/>
    <x v="0"/>
    <x v="0"/>
    <x v="2"/>
  </r>
  <r>
    <x v="1"/>
    <n v="20"/>
    <n v="1"/>
    <n v="1"/>
    <n v="1"/>
    <x v="9"/>
    <x v="0"/>
    <x v="0"/>
    <s v="Dhaka"/>
    <x v="1"/>
    <x v="1"/>
    <x v="2"/>
  </r>
  <r>
    <x v="0"/>
    <n v="50"/>
    <n v="1"/>
    <n v="1"/>
    <n v="1"/>
    <x v="24"/>
    <x v="1"/>
    <x v="2"/>
    <s v="Dhaka"/>
    <x v="1"/>
    <x v="1"/>
    <x v="0"/>
  </r>
  <r>
    <x v="0"/>
    <n v="13"/>
    <n v="1"/>
    <n v="1"/>
    <n v="0"/>
    <x v="13"/>
    <x v="0"/>
    <x v="1"/>
    <s v="Dhaka"/>
    <x v="1"/>
    <x v="1"/>
    <x v="1"/>
  </r>
  <r>
    <x v="1"/>
    <n v="44"/>
    <n v="1"/>
    <n v="1"/>
    <n v="0"/>
    <x v="14"/>
    <x v="1"/>
    <x v="0"/>
    <s v="Dhaka"/>
    <x v="1"/>
    <x v="1"/>
    <x v="0"/>
  </r>
  <r>
    <x v="1"/>
    <n v="19"/>
    <n v="1"/>
    <n v="1"/>
    <n v="1"/>
    <x v="9"/>
    <x v="0"/>
    <x v="1"/>
    <s v="Dhaka"/>
    <x v="1"/>
    <x v="1"/>
    <x v="2"/>
  </r>
  <r>
    <x v="0"/>
    <n v="53"/>
    <n v="1"/>
    <n v="1"/>
    <n v="1"/>
    <x v="18"/>
    <x v="1"/>
    <x v="2"/>
    <s v="Dhaka"/>
    <x v="1"/>
    <x v="1"/>
    <x v="0"/>
  </r>
  <r>
    <x v="0"/>
    <n v="12"/>
    <n v="0"/>
    <n v="0"/>
    <n v="0"/>
    <x v="31"/>
    <x v="0"/>
    <x v="0"/>
    <s v="Dhaka"/>
    <x v="0"/>
    <x v="0"/>
    <x v="4"/>
  </r>
  <r>
    <x v="0"/>
    <n v="14"/>
    <n v="0"/>
    <n v="0"/>
    <n v="0"/>
    <x v="28"/>
    <x v="1"/>
    <x v="2"/>
    <s v="Dhaka"/>
    <x v="0"/>
    <x v="0"/>
    <x v="1"/>
  </r>
  <r>
    <x v="1"/>
    <n v="30"/>
    <n v="1"/>
    <n v="1"/>
    <n v="1"/>
    <x v="11"/>
    <x v="0"/>
    <x v="0"/>
    <s v="Dhaka"/>
    <x v="1"/>
    <x v="1"/>
    <x v="2"/>
  </r>
  <r>
    <x v="0"/>
    <n v="48"/>
    <n v="0"/>
    <n v="0"/>
    <n v="1"/>
    <x v="24"/>
    <x v="1"/>
    <x v="2"/>
    <s v="Dhaka"/>
    <x v="0"/>
    <x v="0"/>
    <x v="0"/>
  </r>
  <r>
    <x v="1"/>
    <n v="31"/>
    <n v="0"/>
    <n v="0"/>
    <n v="0"/>
    <x v="24"/>
    <x v="0"/>
    <x v="0"/>
    <s v="Dhaka"/>
    <x v="0"/>
    <x v="0"/>
    <x v="2"/>
  </r>
  <r>
    <x v="1"/>
    <n v="16"/>
    <n v="1"/>
    <n v="1"/>
    <n v="0"/>
    <x v="26"/>
    <x v="1"/>
    <x v="0"/>
    <s v="Dhaka"/>
    <x v="1"/>
    <x v="1"/>
    <x v="1"/>
  </r>
  <r>
    <x v="1"/>
    <n v="38"/>
    <n v="1"/>
    <n v="1"/>
    <n v="1"/>
    <x v="5"/>
    <x v="0"/>
    <x v="2"/>
    <s v="Dhaka"/>
    <x v="1"/>
    <x v="1"/>
    <x v="0"/>
  </r>
  <r>
    <x v="0"/>
    <n v="24"/>
    <n v="1"/>
    <n v="1"/>
    <n v="1"/>
    <x v="23"/>
    <x v="1"/>
    <x v="1"/>
    <s v="Dhaka"/>
    <x v="1"/>
    <x v="1"/>
    <x v="2"/>
  </r>
  <r>
    <x v="0"/>
    <n v="28"/>
    <n v="0"/>
    <n v="0"/>
    <n v="1"/>
    <x v="8"/>
    <x v="0"/>
    <x v="2"/>
    <s v="Dhaka"/>
    <x v="0"/>
    <x v="0"/>
    <x v="2"/>
  </r>
  <r>
    <x v="0"/>
    <n v="52"/>
    <n v="1"/>
    <n v="1"/>
    <n v="0"/>
    <x v="32"/>
    <x v="1"/>
    <x v="2"/>
    <s v="Dhaka"/>
    <x v="1"/>
    <x v="1"/>
    <x v="0"/>
  </r>
  <r>
    <x v="1"/>
    <n v="8"/>
    <n v="1"/>
    <n v="1"/>
    <n v="0"/>
    <x v="14"/>
    <x v="0"/>
    <x v="0"/>
    <s v="Dhaka"/>
    <x v="1"/>
    <x v="1"/>
    <x v="4"/>
  </r>
  <r>
    <x v="0"/>
    <n v="54"/>
    <n v="0"/>
    <n v="0"/>
    <n v="0"/>
    <x v="0"/>
    <x v="1"/>
    <x v="0"/>
    <s v="Dhaka"/>
    <x v="0"/>
    <x v="0"/>
    <x v="0"/>
  </r>
  <r>
    <x v="0"/>
    <n v="9"/>
    <n v="1"/>
    <n v="1"/>
    <n v="1"/>
    <x v="13"/>
    <x v="0"/>
    <x v="0"/>
    <s v="Dhaka"/>
    <x v="1"/>
    <x v="1"/>
    <x v="4"/>
  </r>
  <r>
    <x v="0"/>
    <n v="14"/>
    <n v="1"/>
    <n v="1"/>
    <n v="0"/>
    <x v="15"/>
    <x v="1"/>
    <x v="1"/>
    <s v="Dhaka"/>
    <x v="1"/>
    <x v="1"/>
    <x v="1"/>
  </r>
  <r>
    <x v="0"/>
    <n v="12"/>
    <n v="1"/>
    <n v="1"/>
    <n v="0"/>
    <x v="1"/>
    <x v="0"/>
    <x v="1"/>
    <s v="Dhaka"/>
    <x v="1"/>
    <x v="1"/>
    <x v="4"/>
  </r>
  <r>
    <x v="0"/>
    <n v="49"/>
    <n v="0"/>
    <n v="0"/>
    <n v="1"/>
    <x v="30"/>
    <x v="1"/>
    <x v="1"/>
    <s v="Dhaka"/>
    <x v="0"/>
    <x v="0"/>
    <x v="0"/>
  </r>
  <r>
    <x v="1"/>
    <n v="46"/>
    <n v="0"/>
    <n v="0"/>
    <n v="0"/>
    <x v="15"/>
    <x v="0"/>
    <x v="1"/>
    <s v="Dhaka"/>
    <x v="0"/>
    <x v="0"/>
    <x v="0"/>
  </r>
  <r>
    <x v="1"/>
    <n v="35"/>
    <n v="0"/>
    <n v="0"/>
    <n v="1"/>
    <x v="26"/>
    <x v="1"/>
    <x v="0"/>
    <s v="Dhaka"/>
    <x v="0"/>
    <x v="0"/>
    <x v="2"/>
  </r>
  <r>
    <x v="0"/>
    <n v="45"/>
    <n v="1"/>
    <n v="1"/>
    <n v="0"/>
    <x v="6"/>
    <x v="0"/>
    <x v="0"/>
    <s v="Dhaka"/>
    <x v="1"/>
    <x v="1"/>
    <x v="0"/>
  </r>
  <r>
    <x v="1"/>
    <n v="48"/>
    <n v="0"/>
    <n v="0"/>
    <n v="0"/>
    <x v="34"/>
    <x v="1"/>
    <x v="1"/>
    <s v="Dhaka"/>
    <x v="0"/>
    <x v="0"/>
    <x v="0"/>
  </r>
  <r>
    <x v="1"/>
    <n v="50"/>
    <n v="0"/>
    <n v="0"/>
    <n v="0"/>
    <x v="20"/>
    <x v="0"/>
    <x v="1"/>
    <s v="Dhaka"/>
    <x v="0"/>
    <x v="0"/>
    <x v="0"/>
  </r>
  <r>
    <x v="1"/>
    <n v="37"/>
    <n v="0"/>
    <n v="0"/>
    <n v="0"/>
    <x v="7"/>
    <x v="1"/>
    <x v="0"/>
    <s v="Dhaka"/>
    <x v="0"/>
    <x v="0"/>
    <x v="0"/>
  </r>
  <r>
    <x v="0"/>
    <n v="39"/>
    <n v="0"/>
    <n v="0"/>
    <n v="1"/>
    <x v="22"/>
    <x v="0"/>
    <x v="0"/>
    <s v="Dhaka"/>
    <x v="0"/>
    <x v="0"/>
    <x v="0"/>
  </r>
  <r>
    <x v="1"/>
    <n v="56"/>
    <n v="1"/>
    <n v="1"/>
    <n v="0"/>
    <x v="13"/>
    <x v="1"/>
    <x v="0"/>
    <s v="Dhaka"/>
    <x v="1"/>
    <x v="1"/>
    <x v="0"/>
  </r>
  <r>
    <x v="0"/>
    <n v="11"/>
    <n v="0"/>
    <n v="0"/>
    <n v="1"/>
    <x v="1"/>
    <x v="0"/>
    <x v="2"/>
    <s v="Dhaka"/>
    <x v="0"/>
    <x v="0"/>
    <x v="4"/>
  </r>
  <r>
    <x v="1"/>
    <n v="46"/>
    <n v="1"/>
    <n v="1"/>
    <n v="0"/>
    <x v="30"/>
    <x v="1"/>
    <x v="0"/>
    <s v="Dhaka"/>
    <x v="1"/>
    <x v="1"/>
    <x v="0"/>
  </r>
  <r>
    <x v="0"/>
    <n v="32"/>
    <n v="0"/>
    <n v="0"/>
    <n v="1"/>
    <x v="11"/>
    <x v="0"/>
    <x v="2"/>
    <s v="Dhaka"/>
    <x v="0"/>
    <x v="0"/>
    <x v="2"/>
  </r>
  <r>
    <x v="1"/>
    <n v="65"/>
    <n v="0"/>
    <n v="0"/>
    <n v="0"/>
    <x v="35"/>
    <x v="1"/>
    <x v="2"/>
    <s v="Dhaka"/>
    <x v="0"/>
    <x v="0"/>
    <x v="3"/>
  </r>
  <r>
    <x v="1"/>
    <n v="55"/>
    <n v="1"/>
    <n v="1"/>
    <n v="1"/>
    <x v="21"/>
    <x v="0"/>
    <x v="1"/>
    <s v="Dhaka"/>
    <x v="1"/>
    <x v="1"/>
    <x v="0"/>
  </r>
  <r>
    <x v="1"/>
    <n v="34"/>
    <n v="0"/>
    <n v="0"/>
    <n v="1"/>
    <x v="24"/>
    <x v="1"/>
    <x v="1"/>
    <s v="Dhaka"/>
    <x v="0"/>
    <x v="0"/>
    <x v="2"/>
  </r>
  <r>
    <x v="1"/>
    <n v="21"/>
    <n v="0"/>
    <n v="0"/>
    <n v="0"/>
    <x v="23"/>
    <x v="0"/>
    <x v="2"/>
    <s v="Dhaka"/>
    <x v="0"/>
    <x v="0"/>
    <x v="2"/>
  </r>
  <r>
    <x v="0"/>
    <n v="11"/>
    <n v="0"/>
    <n v="0"/>
    <n v="0"/>
    <x v="6"/>
    <x v="1"/>
    <x v="1"/>
    <s v="Dhaka"/>
    <x v="0"/>
    <x v="0"/>
    <x v="4"/>
  </r>
  <r>
    <x v="1"/>
    <n v="46"/>
    <n v="0"/>
    <n v="0"/>
    <n v="0"/>
    <x v="10"/>
    <x v="0"/>
    <x v="0"/>
    <s v="Dhaka"/>
    <x v="0"/>
    <x v="0"/>
    <x v="0"/>
  </r>
  <r>
    <x v="1"/>
    <n v="21"/>
    <n v="1"/>
    <n v="1"/>
    <n v="0"/>
    <x v="18"/>
    <x v="1"/>
    <x v="1"/>
    <s v="Dhaka"/>
    <x v="1"/>
    <x v="1"/>
    <x v="2"/>
  </r>
  <r>
    <x v="0"/>
    <n v="61"/>
    <n v="0"/>
    <n v="0"/>
    <n v="0"/>
    <x v="5"/>
    <x v="0"/>
    <x v="2"/>
    <s v="Dhaka"/>
    <x v="0"/>
    <x v="0"/>
    <x v="3"/>
  </r>
  <r>
    <x v="1"/>
    <n v="35"/>
    <n v="1"/>
    <n v="1"/>
    <n v="1"/>
    <x v="16"/>
    <x v="1"/>
    <x v="0"/>
    <s v="Dhaka"/>
    <x v="1"/>
    <x v="1"/>
    <x v="2"/>
  </r>
  <r>
    <x v="0"/>
    <n v="46"/>
    <n v="1"/>
    <n v="1"/>
    <n v="1"/>
    <x v="31"/>
    <x v="0"/>
    <x v="2"/>
    <s v="Dhaka"/>
    <x v="1"/>
    <x v="1"/>
    <x v="0"/>
  </r>
  <r>
    <x v="0"/>
    <n v="11"/>
    <n v="0"/>
    <n v="0"/>
    <n v="0"/>
    <x v="18"/>
    <x v="1"/>
    <x v="1"/>
    <s v="Dhaka"/>
    <x v="0"/>
    <x v="0"/>
    <x v="4"/>
  </r>
  <r>
    <x v="1"/>
    <n v="49"/>
    <n v="1"/>
    <n v="1"/>
    <n v="0"/>
    <x v="8"/>
    <x v="0"/>
    <x v="0"/>
    <s v="Dhaka"/>
    <x v="1"/>
    <x v="1"/>
    <x v="0"/>
  </r>
  <r>
    <x v="0"/>
    <n v="43"/>
    <n v="1"/>
    <n v="1"/>
    <n v="1"/>
    <x v="5"/>
    <x v="1"/>
    <x v="1"/>
    <s v="Dhaka"/>
    <x v="1"/>
    <x v="1"/>
    <x v="0"/>
  </r>
  <r>
    <x v="0"/>
    <n v="49"/>
    <n v="1"/>
    <n v="1"/>
    <n v="0"/>
    <x v="28"/>
    <x v="0"/>
    <x v="2"/>
    <s v="Dhaka"/>
    <x v="1"/>
    <x v="1"/>
    <x v="0"/>
  </r>
  <r>
    <x v="1"/>
    <n v="46"/>
    <n v="1"/>
    <n v="1"/>
    <n v="0"/>
    <x v="26"/>
    <x v="1"/>
    <x v="2"/>
    <s v="Dhaka"/>
    <x v="1"/>
    <x v="1"/>
    <x v="0"/>
  </r>
  <r>
    <x v="0"/>
    <n v="50"/>
    <n v="0"/>
    <n v="0"/>
    <n v="1"/>
    <x v="0"/>
    <x v="0"/>
    <x v="0"/>
    <s v="Dhaka"/>
    <x v="0"/>
    <x v="0"/>
    <x v="0"/>
  </r>
  <r>
    <x v="1"/>
    <n v="20"/>
    <n v="0"/>
    <n v="0"/>
    <n v="0"/>
    <x v="9"/>
    <x v="1"/>
    <x v="0"/>
    <s v="Dhaka"/>
    <x v="0"/>
    <x v="0"/>
    <x v="2"/>
  </r>
  <r>
    <x v="1"/>
    <n v="58"/>
    <n v="1"/>
    <n v="1"/>
    <n v="1"/>
    <x v="8"/>
    <x v="0"/>
    <x v="2"/>
    <s v="Dhaka"/>
    <x v="1"/>
    <x v="1"/>
    <x v="0"/>
  </r>
  <r>
    <x v="0"/>
    <n v="46"/>
    <n v="0"/>
    <n v="0"/>
    <n v="0"/>
    <x v="28"/>
    <x v="1"/>
    <x v="2"/>
    <s v="Dhaka"/>
    <x v="0"/>
    <x v="0"/>
    <x v="0"/>
  </r>
  <r>
    <x v="1"/>
    <n v="24"/>
    <n v="0"/>
    <n v="0"/>
    <n v="1"/>
    <x v="9"/>
    <x v="0"/>
    <x v="0"/>
    <s v="Dhaka"/>
    <x v="0"/>
    <x v="0"/>
    <x v="2"/>
  </r>
  <r>
    <x v="1"/>
    <n v="29"/>
    <n v="0"/>
    <n v="0"/>
    <n v="0"/>
    <x v="24"/>
    <x v="1"/>
    <x v="1"/>
    <s v="Dhaka"/>
    <x v="0"/>
    <x v="0"/>
    <x v="2"/>
  </r>
  <r>
    <x v="1"/>
    <n v="46"/>
    <n v="0"/>
    <n v="0"/>
    <n v="1"/>
    <x v="32"/>
    <x v="0"/>
    <x v="2"/>
    <s v="Dhaka"/>
    <x v="0"/>
    <x v="0"/>
    <x v="0"/>
  </r>
  <r>
    <x v="1"/>
    <n v="42"/>
    <n v="1"/>
    <n v="1"/>
    <n v="1"/>
    <x v="33"/>
    <x v="1"/>
    <x v="0"/>
    <s v="Dhaka"/>
    <x v="1"/>
    <x v="1"/>
    <x v="0"/>
  </r>
  <r>
    <x v="0"/>
    <n v="56"/>
    <n v="0"/>
    <n v="0"/>
    <n v="0"/>
    <x v="24"/>
    <x v="0"/>
    <x v="1"/>
    <s v="Dhaka"/>
    <x v="0"/>
    <x v="0"/>
    <x v="0"/>
  </r>
  <r>
    <x v="1"/>
    <n v="8"/>
    <n v="0"/>
    <n v="0"/>
    <n v="0"/>
    <x v="2"/>
    <x v="1"/>
    <x v="2"/>
    <s v="Dhaka"/>
    <x v="0"/>
    <x v="0"/>
    <x v="4"/>
  </r>
  <r>
    <x v="1"/>
    <n v="13"/>
    <n v="0"/>
    <n v="0"/>
    <n v="0"/>
    <x v="23"/>
    <x v="0"/>
    <x v="0"/>
    <s v="Dhaka"/>
    <x v="0"/>
    <x v="0"/>
    <x v="1"/>
  </r>
  <r>
    <x v="1"/>
    <n v="10"/>
    <n v="1"/>
    <n v="1"/>
    <n v="0"/>
    <x v="11"/>
    <x v="1"/>
    <x v="2"/>
    <s v="Dhaka"/>
    <x v="1"/>
    <x v="1"/>
    <x v="4"/>
  </r>
  <r>
    <x v="1"/>
    <n v="34"/>
    <n v="0"/>
    <n v="0"/>
    <n v="1"/>
    <x v="34"/>
    <x v="0"/>
    <x v="1"/>
    <s v="Dhaka"/>
    <x v="0"/>
    <x v="0"/>
    <x v="2"/>
  </r>
  <r>
    <x v="0"/>
    <n v="33"/>
    <n v="1"/>
    <n v="1"/>
    <n v="1"/>
    <x v="26"/>
    <x v="1"/>
    <x v="2"/>
    <s v="Dhaka"/>
    <x v="1"/>
    <x v="1"/>
    <x v="2"/>
  </r>
  <r>
    <x v="1"/>
    <n v="43"/>
    <n v="1"/>
    <n v="1"/>
    <n v="0"/>
    <x v="19"/>
    <x v="0"/>
    <x v="1"/>
    <s v="Dhaka"/>
    <x v="1"/>
    <x v="1"/>
    <x v="0"/>
  </r>
  <r>
    <x v="0"/>
    <n v="36"/>
    <n v="1"/>
    <n v="1"/>
    <n v="0"/>
    <x v="21"/>
    <x v="1"/>
    <x v="1"/>
    <s v="Dhaka"/>
    <x v="1"/>
    <x v="1"/>
    <x v="0"/>
  </r>
  <r>
    <x v="0"/>
    <n v="50"/>
    <n v="1"/>
    <n v="1"/>
    <n v="0"/>
    <x v="9"/>
    <x v="0"/>
    <x v="1"/>
    <s v="Dhaka"/>
    <x v="1"/>
    <x v="1"/>
    <x v="0"/>
  </r>
  <r>
    <x v="1"/>
    <n v="14"/>
    <n v="1"/>
    <n v="1"/>
    <n v="0"/>
    <x v="22"/>
    <x v="1"/>
    <x v="0"/>
    <s v="Dhaka"/>
    <x v="1"/>
    <x v="1"/>
    <x v="1"/>
  </r>
  <r>
    <x v="1"/>
    <n v="10"/>
    <n v="0"/>
    <n v="0"/>
    <n v="1"/>
    <x v="19"/>
    <x v="0"/>
    <x v="1"/>
    <s v="Dhaka"/>
    <x v="0"/>
    <x v="0"/>
    <x v="4"/>
  </r>
  <r>
    <x v="1"/>
    <n v="50"/>
    <n v="1"/>
    <n v="1"/>
    <n v="0"/>
    <x v="18"/>
    <x v="1"/>
    <x v="1"/>
    <s v="Dhaka"/>
    <x v="1"/>
    <x v="1"/>
    <x v="0"/>
  </r>
  <r>
    <x v="1"/>
    <n v="62"/>
    <n v="1"/>
    <n v="1"/>
    <n v="0"/>
    <x v="11"/>
    <x v="0"/>
    <x v="1"/>
    <s v="Dhaka"/>
    <x v="1"/>
    <x v="1"/>
    <x v="3"/>
  </r>
  <r>
    <x v="0"/>
    <n v="11"/>
    <n v="0"/>
    <n v="0"/>
    <n v="0"/>
    <x v="21"/>
    <x v="1"/>
    <x v="0"/>
    <s v="Dhaka"/>
    <x v="0"/>
    <x v="0"/>
    <x v="4"/>
  </r>
  <r>
    <x v="1"/>
    <n v="40"/>
    <n v="1"/>
    <n v="1"/>
    <n v="1"/>
    <x v="30"/>
    <x v="0"/>
    <x v="0"/>
    <s v="Dhaka"/>
    <x v="1"/>
    <x v="1"/>
    <x v="0"/>
  </r>
  <r>
    <x v="1"/>
    <n v="50"/>
    <n v="1"/>
    <n v="1"/>
    <n v="1"/>
    <x v="1"/>
    <x v="1"/>
    <x v="0"/>
    <s v="Dhaka"/>
    <x v="1"/>
    <x v="1"/>
    <x v="0"/>
  </r>
  <r>
    <x v="1"/>
    <n v="17"/>
    <n v="0"/>
    <n v="0"/>
    <n v="0"/>
    <x v="20"/>
    <x v="0"/>
    <x v="1"/>
    <s v="Dhaka"/>
    <x v="0"/>
    <x v="0"/>
    <x v="1"/>
  </r>
  <r>
    <x v="0"/>
    <n v="31"/>
    <n v="1"/>
    <n v="1"/>
    <n v="1"/>
    <x v="33"/>
    <x v="1"/>
    <x v="0"/>
    <s v="Dhaka"/>
    <x v="1"/>
    <x v="1"/>
    <x v="2"/>
  </r>
  <r>
    <x v="0"/>
    <n v="53"/>
    <n v="1"/>
    <n v="1"/>
    <n v="1"/>
    <x v="3"/>
    <x v="0"/>
    <x v="0"/>
    <s v="Dhaka"/>
    <x v="1"/>
    <x v="1"/>
    <x v="0"/>
  </r>
  <r>
    <x v="1"/>
    <n v="29"/>
    <n v="0"/>
    <n v="0"/>
    <n v="1"/>
    <x v="24"/>
    <x v="1"/>
    <x v="1"/>
    <s v="Dhaka"/>
    <x v="0"/>
    <x v="0"/>
    <x v="2"/>
  </r>
  <r>
    <x v="0"/>
    <n v="32"/>
    <n v="1"/>
    <n v="1"/>
    <n v="1"/>
    <x v="10"/>
    <x v="0"/>
    <x v="2"/>
    <s v="Dhaka"/>
    <x v="1"/>
    <x v="1"/>
    <x v="2"/>
  </r>
  <r>
    <x v="0"/>
    <n v="45"/>
    <n v="0"/>
    <n v="0"/>
    <n v="0"/>
    <x v="35"/>
    <x v="1"/>
    <x v="1"/>
    <s v="Dhaka"/>
    <x v="0"/>
    <x v="0"/>
    <x v="0"/>
  </r>
  <r>
    <x v="1"/>
    <n v="63"/>
    <n v="0"/>
    <n v="0"/>
    <n v="1"/>
    <x v="14"/>
    <x v="0"/>
    <x v="2"/>
    <s v="Dhaka"/>
    <x v="0"/>
    <x v="0"/>
    <x v="3"/>
  </r>
  <r>
    <x v="1"/>
    <n v="22"/>
    <n v="1"/>
    <n v="1"/>
    <n v="1"/>
    <x v="29"/>
    <x v="1"/>
    <x v="1"/>
    <s v="Dhaka"/>
    <x v="1"/>
    <x v="1"/>
    <x v="2"/>
  </r>
  <r>
    <x v="1"/>
    <n v="46"/>
    <n v="0"/>
    <n v="0"/>
    <n v="0"/>
    <x v="2"/>
    <x v="0"/>
    <x v="2"/>
    <s v="Dhaka"/>
    <x v="0"/>
    <x v="0"/>
    <x v="0"/>
  </r>
  <r>
    <x v="1"/>
    <n v="31"/>
    <n v="1"/>
    <n v="1"/>
    <n v="0"/>
    <x v="12"/>
    <x v="1"/>
    <x v="1"/>
    <s v="Dhaka"/>
    <x v="1"/>
    <x v="1"/>
    <x v="2"/>
  </r>
  <r>
    <x v="1"/>
    <n v="42"/>
    <n v="1"/>
    <n v="1"/>
    <n v="1"/>
    <x v="34"/>
    <x v="0"/>
    <x v="2"/>
    <s v="Dhaka"/>
    <x v="1"/>
    <x v="1"/>
    <x v="0"/>
  </r>
  <r>
    <x v="1"/>
    <n v="54"/>
    <n v="0"/>
    <n v="0"/>
    <n v="0"/>
    <x v="17"/>
    <x v="1"/>
    <x v="1"/>
    <s v="Dhaka"/>
    <x v="0"/>
    <x v="0"/>
    <x v="0"/>
  </r>
  <r>
    <x v="0"/>
    <n v="27"/>
    <n v="0"/>
    <n v="0"/>
    <n v="1"/>
    <x v="19"/>
    <x v="0"/>
    <x v="1"/>
    <s v="Dhaka"/>
    <x v="0"/>
    <x v="0"/>
    <x v="2"/>
  </r>
  <r>
    <x v="1"/>
    <n v="57"/>
    <n v="1"/>
    <n v="1"/>
    <n v="1"/>
    <x v="6"/>
    <x v="1"/>
    <x v="1"/>
    <s v="Dhaka"/>
    <x v="1"/>
    <x v="1"/>
    <x v="0"/>
  </r>
  <r>
    <x v="1"/>
    <n v="46"/>
    <n v="1"/>
    <n v="1"/>
    <n v="1"/>
    <x v="15"/>
    <x v="0"/>
    <x v="2"/>
    <s v="Dhaka"/>
    <x v="1"/>
    <x v="1"/>
    <x v="0"/>
  </r>
  <r>
    <x v="1"/>
    <n v="29"/>
    <n v="0"/>
    <n v="0"/>
    <n v="1"/>
    <x v="33"/>
    <x v="1"/>
    <x v="0"/>
    <s v="Dhaka"/>
    <x v="0"/>
    <x v="0"/>
    <x v="2"/>
  </r>
  <r>
    <x v="1"/>
    <n v="34"/>
    <n v="1"/>
    <n v="1"/>
    <n v="0"/>
    <x v="8"/>
    <x v="0"/>
    <x v="1"/>
    <s v="Dhaka"/>
    <x v="1"/>
    <x v="1"/>
    <x v="2"/>
  </r>
  <r>
    <x v="0"/>
    <n v="41"/>
    <n v="1"/>
    <n v="1"/>
    <n v="1"/>
    <x v="19"/>
    <x v="1"/>
    <x v="1"/>
    <s v="Dhaka"/>
    <x v="1"/>
    <x v="1"/>
    <x v="0"/>
  </r>
  <r>
    <x v="0"/>
    <n v="10"/>
    <n v="0"/>
    <n v="0"/>
    <n v="1"/>
    <x v="6"/>
    <x v="0"/>
    <x v="0"/>
    <s v="Dhaka"/>
    <x v="0"/>
    <x v="0"/>
    <x v="4"/>
  </r>
  <r>
    <x v="0"/>
    <n v="27"/>
    <n v="1"/>
    <n v="1"/>
    <n v="0"/>
    <x v="3"/>
    <x v="1"/>
    <x v="0"/>
    <s v="Dhaka"/>
    <x v="1"/>
    <x v="1"/>
    <x v="2"/>
  </r>
  <r>
    <x v="0"/>
    <n v="26"/>
    <n v="1"/>
    <n v="1"/>
    <n v="1"/>
    <x v="21"/>
    <x v="0"/>
    <x v="2"/>
    <s v="Dhaka"/>
    <x v="1"/>
    <x v="1"/>
    <x v="2"/>
  </r>
  <r>
    <x v="0"/>
    <n v="62"/>
    <n v="1"/>
    <n v="1"/>
    <n v="1"/>
    <x v="15"/>
    <x v="1"/>
    <x v="1"/>
    <s v="Dhaka"/>
    <x v="1"/>
    <x v="1"/>
    <x v="3"/>
  </r>
  <r>
    <x v="1"/>
    <n v="28"/>
    <n v="1"/>
    <n v="1"/>
    <n v="1"/>
    <x v="9"/>
    <x v="0"/>
    <x v="1"/>
    <s v="Dhaka"/>
    <x v="1"/>
    <x v="1"/>
    <x v="2"/>
  </r>
  <r>
    <x v="1"/>
    <n v="44"/>
    <n v="1"/>
    <n v="1"/>
    <n v="0"/>
    <x v="31"/>
    <x v="1"/>
    <x v="1"/>
    <s v="Dhaka"/>
    <x v="1"/>
    <x v="1"/>
    <x v="0"/>
  </r>
  <r>
    <x v="1"/>
    <n v="39"/>
    <n v="1"/>
    <n v="1"/>
    <n v="1"/>
    <x v="14"/>
    <x v="0"/>
    <x v="0"/>
    <s v="Dhaka"/>
    <x v="1"/>
    <x v="1"/>
    <x v="0"/>
  </r>
  <r>
    <x v="0"/>
    <n v="11"/>
    <n v="0"/>
    <n v="0"/>
    <n v="1"/>
    <x v="32"/>
    <x v="1"/>
    <x v="2"/>
    <s v="Dhaka"/>
    <x v="0"/>
    <x v="0"/>
    <x v="4"/>
  </r>
  <r>
    <x v="0"/>
    <n v="51"/>
    <n v="0"/>
    <n v="0"/>
    <n v="1"/>
    <x v="30"/>
    <x v="0"/>
    <x v="1"/>
    <s v="Dhaka"/>
    <x v="0"/>
    <x v="0"/>
    <x v="0"/>
  </r>
  <r>
    <x v="0"/>
    <n v="34"/>
    <n v="1"/>
    <n v="1"/>
    <n v="0"/>
    <x v="5"/>
    <x v="1"/>
    <x v="2"/>
    <s v="Dhaka"/>
    <x v="1"/>
    <x v="1"/>
    <x v="2"/>
  </r>
  <r>
    <x v="0"/>
    <n v="17"/>
    <n v="0"/>
    <n v="0"/>
    <n v="0"/>
    <x v="27"/>
    <x v="0"/>
    <x v="0"/>
    <s v="Dhaka"/>
    <x v="0"/>
    <x v="0"/>
    <x v="1"/>
  </r>
  <r>
    <x v="0"/>
    <n v="12"/>
    <n v="1"/>
    <n v="1"/>
    <n v="0"/>
    <x v="34"/>
    <x v="1"/>
    <x v="1"/>
    <s v="Dhaka"/>
    <x v="1"/>
    <x v="1"/>
    <x v="4"/>
  </r>
  <r>
    <x v="1"/>
    <n v="51"/>
    <n v="0"/>
    <n v="0"/>
    <n v="1"/>
    <x v="33"/>
    <x v="0"/>
    <x v="1"/>
    <s v="Dhaka"/>
    <x v="0"/>
    <x v="0"/>
    <x v="0"/>
  </r>
  <r>
    <x v="0"/>
    <n v="49"/>
    <n v="0"/>
    <n v="0"/>
    <n v="1"/>
    <x v="12"/>
    <x v="1"/>
    <x v="2"/>
    <s v="Dhaka"/>
    <x v="0"/>
    <x v="0"/>
    <x v="0"/>
  </r>
  <r>
    <x v="1"/>
    <n v="40"/>
    <n v="1"/>
    <n v="1"/>
    <n v="0"/>
    <x v="30"/>
    <x v="0"/>
    <x v="1"/>
    <s v="Dhaka"/>
    <x v="1"/>
    <x v="1"/>
    <x v="0"/>
  </r>
  <r>
    <x v="1"/>
    <n v="50"/>
    <n v="0"/>
    <n v="0"/>
    <n v="1"/>
    <x v="15"/>
    <x v="1"/>
    <x v="2"/>
    <s v="Dhaka"/>
    <x v="0"/>
    <x v="0"/>
    <x v="0"/>
  </r>
  <r>
    <x v="0"/>
    <n v="31"/>
    <n v="1"/>
    <n v="1"/>
    <n v="1"/>
    <x v="7"/>
    <x v="0"/>
    <x v="0"/>
    <s v="Dhaka"/>
    <x v="1"/>
    <x v="1"/>
    <x v="2"/>
  </r>
  <r>
    <x v="1"/>
    <n v="49"/>
    <n v="1"/>
    <n v="1"/>
    <n v="1"/>
    <x v="30"/>
    <x v="1"/>
    <x v="0"/>
    <s v="Dhaka"/>
    <x v="1"/>
    <x v="1"/>
    <x v="0"/>
  </r>
  <r>
    <x v="1"/>
    <n v="35"/>
    <n v="1"/>
    <n v="1"/>
    <n v="0"/>
    <x v="10"/>
    <x v="0"/>
    <x v="2"/>
    <s v="Dhaka"/>
    <x v="1"/>
    <x v="1"/>
    <x v="2"/>
  </r>
  <r>
    <x v="0"/>
    <n v="16"/>
    <n v="1"/>
    <n v="1"/>
    <n v="0"/>
    <x v="20"/>
    <x v="1"/>
    <x v="2"/>
    <s v="Dhaka"/>
    <x v="1"/>
    <x v="1"/>
    <x v="1"/>
  </r>
  <r>
    <x v="0"/>
    <n v="37"/>
    <n v="0"/>
    <n v="0"/>
    <n v="0"/>
    <x v="11"/>
    <x v="0"/>
    <x v="1"/>
    <s v="Dhaka"/>
    <x v="0"/>
    <x v="0"/>
    <x v="0"/>
  </r>
  <r>
    <x v="0"/>
    <n v="48"/>
    <n v="0"/>
    <n v="0"/>
    <n v="0"/>
    <x v="18"/>
    <x v="1"/>
    <x v="1"/>
    <s v="Dhaka"/>
    <x v="0"/>
    <x v="0"/>
    <x v="0"/>
  </r>
  <r>
    <x v="1"/>
    <n v="11"/>
    <n v="0"/>
    <n v="0"/>
    <n v="0"/>
    <x v="20"/>
    <x v="0"/>
    <x v="2"/>
    <s v="Dhaka"/>
    <x v="0"/>
    <x v="0"/>
    <x v="4"/>
  </r>
  <r>
    <x v="1"/>
    <n v="21"/>
    <n v="1"/>
    <n v="1"/>
    <n v="1"/>
    <x v="12"/>
    <x v="1"/>
    <x v="1"/>
    <s v="Dhaka"/>
    <x v="1"/>
    <x v="1"/>
    <x v="2"/>
  </r>
  <r>
    <x v="1"/>
    <n v="45"/>
    <n v="1"/>
    <n v="1"/>
    <n v="0"/>
    <x v="12"/>
    <x v="0"/>
    <x v="1"/>
    <s v="Dhaka"/>
    <x v="1"/>
    <x v="1"/>
    <x v="0"/>
  </r>
  <r>
    <x v="1"/>
    <n v="53"/>
    <n v="0"/>
    <n v="0"/>
    <n v="1"/>
    <x v="20"/>
    <x v="1"/>
    <x v="1"/>
    <s v="Dhaka"/>
    <x v="0"/>
    <x v="0"/>
    <x v="0"/>
  </r>
  <r>
    <x v="0"/>
    <n v="13"/>
    <n v="1"/>
    <n v="1"/>
    <n v="1"/>
    <x v="26"/>
    <x v="0"/>
    <x v="2"/>
    <s v="Dhaka"/>
    <x v="1"/>
    <x v="1"/>
    <x v="1"/>
  </r>
  <r>
    <x v="0"/>
    <n v="18"/>
    <n v="0"/>
    <n v="0"/>
    <n v="1"/>
    <x v="20"/>
    <x v="1"/>
    <x v="0"/>
    <s v="Dhaka"/>
    <x v="0"/>
    <x v="0"/>
    <x v="1"/>
  </r>
  <r>
    <x v="1"/>
    <n v="34"/>
    <n v="1"/>
    <n v="1"/>
    <n v="1"/>
    <x v="23"/>
    <x v="0"/>
    <x v="1"/>
    <s v="Dhaka"/>
    <x v="1"/>
    <x v="1"/>
    <x v="2"/>
  </r>
  <r>
    <x v="1"/>
    <n v="22"/>
    <n v="0"/>
    <n v="0"/>
    <n v="0"/>
    <x v="17"/>
    <x v="1"/>
    <x v="1"/>
    <s v="Dhaka"/>
    <x v="0"/>
    <x v="0"/>
    <x v="2"/>
  </r>
  <r>
    <x v="1"/>
    <n v="39"/>
    <n v="1"/>
    <n v="1"/>
    <n v="1"/>
    <x v="32"/>
    <x v="0"/>
    <x v="1"/>
    <s v="Dhaka"/>
    <x v="1"/>
    <x v="1"/>
    <x v="0"/>
  </r>
  <r>
    <x v="1"/>
    <n v="21"/>
    <n v="0"/>
    <n v="0"/>
    <n v="0"/>
    <x v="24"/>
    <x v="1"/>
    <x v="2"/>
    <s v="Dhaka"/>
    <x v="0"/>
    <x v="0"/>
    <x v="2"/>
  </r>
  <r>
    <x v="1"/>
    <n v="64"/>
    <n v="0"/>
    <n v="0"/>
    <n v="0"/>
    <x v="2"/>
    <x v="0"/>
    <x v="0"/>
    <s v="Dhaka"/>
    <x v="0"/>
    <x v="0"/>
    <x v="3"/>
  </r>
  <r>
    <x v="0"/>
    <n v="53"/>
    <n v="0"/>
    <n v="0"/>
    <n v="0"/>
    <x v="2"/>
    <x v="1"/>
    <x v="1"/>
    <s v="Dhaka"/>
    <x v="0"/>
    <x v="0"/>
    <x v="0"/>
  </r>
  <r>
    <x v="0"/>
    <n v="21"/>
    <n v="1"/>
    <n v="1"/>
    <n v="1"/>
    <x v="3"/>
    <x v="0"/>
    <x v="0"/>
    <s v="Dhaka"/>
    <x v="1"/>
    <x v="1"/>
    <x v="2"/>
  </r>
  <r>
    <x v="0"/>
    <n v="40"/>
    <n v="1"/>
    <n v="1"/>
    <n v="1"/>
    <x v="15"/>
    <x v="1"/>
    <x v="0"/>
    <s v="Dhaka"/>
    <x v="1"/>
    <x v="1"/>
    <x v="0"/>
  </r>
  <r>
    <x v="1"/>
    <n v="39"/>
    <n v="1"/>
    <n v="1"/>
    <n v="1"/>
    <x v="5"/>
    <x v="0"/>
    <x v="0"/>
    <s v="Dhaka"/>
    <x v="1"/>
    <x v="1"/>
    <x v="0"/>
  </r>
  <r>
    <x v="0"/>
    <n v="47"/>
    <n v="1"/>
    <n v="1"/>
    <n v="1"/>
    <x v="5"/>
    <x v="1"/>
    <x v="2"/>
    <s v="Dhaka"/>
    <x v="1"/>
    <x v="1"/>
    <x v="0"/>
  </r>
  <r>
    <x v="1"/>
    <n v="52"/>
    <n v="0"/>
    <n v="0"/>
    <n v="1"/>
    <x v="10"/>
    <x v="0"/>
    <x v="1"/>
    <s v="Dhaka"/>
    <x v="0"/>
    <x v="0"/>
    <x v="0"/>
  </r>
  <r>
    <x v="0"/>
    <n v="17"/>
    <n v="1"/>
    <n v="1"/>
    <n v="1"/>
    <x v="10"/>
    <x v="1"/>
    <x v="0"/>
    <s v="Dhaka"/>
    <x v="1"/>
    <x v="1"/>
    <x v="1"/>
  </r>
  <r>
    <x v="1"/>
    <n v="65"/>
    <n v="0"/>
    <n v="0"/>
    <n v="0"/>
    <x v="13"/>
    <x v="0"/>
    <x v="2"/>
    <s v="Dhaka"/>
    <x v="0"/>
    <x v="0"/>
    <x v="3"/>
  </r>
  <r>
    <x v="1"/>
    <n v="32"/>
    <n v="0"/>
    <n v="0"/>
    <n v="1"/>
    <x v="1"/>
    <x v="1"/>
    <x v="2"/>
    <s v="Dhaka"/>
    <x v="0"/>
    <x v="0"/>
    <x v="2"/>
  </r>
  <r>
    <x v="1"/>
    <n v="8"/>
    <n v="1"/>
    <n v="1"/>
    <n v="0"/>
    <x v="26"/>
    <x v="0"/>
    <x v="0"/>
    <s v="Dhaka"/>
    <x v="1"/>
    <x v="1"/>
    <x v="4"/>
  </r>
  <r>
    <x v="0"/>
    <n v="55"/>
    <n v="0"/>
    <n v="0"/>
    <n v="1"/>
    <x v="17"/>
    <x v="1"/>
    <x v="0"/>
    <s v="Dhaka"/>
    <x v="0"/>
    <x v="0"/>
    <x v="0"/>
  </r>
  <r>
    <x v="1"/>
    <n v="47"/>
    <n v="0"/>
    <n v="0"/>
    <n v="0"/>
    <x v="33"/>
    <x v="0"/>
    <x v="1"/>
    <s v="Dhaka"/>
    <x v="0"/>
    <x v="0"/>
    <x v="0"/>
  </r>
  <r>
    <x v="1"/>
    <n v="47"/>
    <n v="0"/>
    <n v="0"/>
    <n v="0"/>
    <x v="14"/>
    <x v="1"/>
    <x v="1"/>
    <s v="Dhaka"/>
    <x v="0"/>
    <x v="0"/>
    <x v="0"/>
  </r>
  <r>
    <x v="1"/>
    <n v="47"/>
    <n v="0"/>
    <n v="0"/>
    <n v="0"/>
    <x v="35"/>
    <x v="0"/>
    <x v="0"/>
    <s v="Dhaka"/>
    <x v="0"/>
    <x v="0"/>
    <x v="0"/>
  </r>
  <r>
    <x v="0"/>
    <n v="26"/>
    <n v="1"/>
    <n v="1"/>
    <n v="0"/>
    <x v="28"/>
    <x v="1"/>
    <x v="1"/>
    <s v="Dhaka"/>
    <x v="1"/>
    <x v="1"/>
    <x v="2"/>
  </r>
  <r>
    <x v="1"/>
    <n v="36"/>
    <n v="0"/>
    <n v="0"/>
    <n v="0"/>
    <x v="20"/>
    <x v="0"/>
    <x v="1"/>
    <s v="Dhaka"/>
    <x v="0"/>
    <x v="0"/>
    <x v="0"/>
  </r>
  <r>
    <x v="1"/>
    <n v="45"/>
    <n v="1"/>
    <n v="1"/>
    <n v="0"/>
    <x v="30"/>
    <x v="1"/>
    <x v="0"/>
    <s v="Dhaka"/>
    <x v="1"/>
    <x v="1"/>
    <x v="0"/>
  </r>
  <r>
    <x v="0"/>
    <n v="24"/>
    <n v="0"/>
    <n v="0"/>
    <n v="0"/>
    <x v="0"/>
    <x v="0"/>
    <x v="0"/>
    <s v="Dhaka"/>
    <x v="0"/>
    <x v="0"/>
    <x v="2"/>
  </r>
  <r>
    <x v="0"/>
    <n v="15"/>
    <n v="0"/>
    <n v="0"/>
    <n v="1"/>
    <x v="10"/>
    <x v="1"/>
    <x v="0"/>
    <s v="Dhaka"/>
    <x v="0"/>
    <x v="0"/>
    <x v="1"/>
  </r>
  <r>
    <x v="1"/>
    <n v="32"/>
    <n v="1"/>
    <n v="1"/>
    <n v="0"/>
    <x v="20"/>
    <x v="0"/>
    <x v="2"/>
    <s v="Dhaka"/>
    <x v="1"/>
    <x v="1"/>
    <x v="2"/>
  </r>
  <r>
    <x v="0"/>
    <n v="28"/>
    <n v="1"/>
    <n v="1"/>
    <n v="0"/>
    <x v="0"/>
    <x v="1"/>
    <x v="2"/>
    <s v="Dhaka"/>
    <x v="1"/>
    <x v="1"/>
    <x v="2"/>
  </r>
  <r>
    <x v="1"/>
    <n v="53"/>
    <n v="1"/>
    <n v="1"/>
    <n v="1"/>
    <x v="35"/>
    <x v="0"/>
    <x v="0"/>
    <s v="Dhaka"/>
    <x v="1"/>
    <x v="1"/>
    <x v="0"/>
  </r>
  <r>
    <x v="1"/>
    <n v="58"/>
    <n v="1"/>
    <n v="1"/>
    <n v="0"/>
    <x v="1"/>
    <x v="1"/>
    <x v="2"/>
    <s v="Dhaka"/>
    <x v="1"/>
    <x v="1"/>
    <x v="0"/>
  </r>
  <r>
    <x v="0"/>
    <n v="8"/>
    <n v="0"/>
    <n v="0"/>
    <n v="1"/>
    <x v="8"/>
    <x v="0"/>
    <x v="2"/>
    <s v="Dhaka"/>
    <x v="0"/>
    <x v="0"/>
    <x v="4"/>
  </r>
  <r>
    <x v="1"/>
    <n v="35"/>
    <n v="0"/>
    <n v="0"/>
    <n v="1"/>
    <x v="1"/>
    <x v="1"/>
    <x v="2"/>
    <s v="Dhaka"/>
    <x v="0"/>
    <x v="0"/>
    <x v="2"/>
  </r>
  <r>
    <x v="1"/>
    <n v="44"/>
    <n v="1"/>
    <n v="1"/>
    <n v="1"/>
    <x v="31"/>
    <x v="0"/>
    <x v="1"/>
    <s v="Dhaka"/>
    <x v="1"/>
    <x v="1"/>
    <x v="0"/>
  </r>
  <r>
    <x v="0"/>
    <n v="30"/>
    <n v="1"/>
    <n v="1"/>
    <n v="1"/>
    <x v="2"/>
    <x v="1"/>
    <x v="1"/>
    <s v="Dhaka"/>
    <x v="1"/>
    <x v="1"/>
    <x v="2"/>
  </r>
  <r>
    <x v="1"/>
    <n v="16"/>
    <n v="0"/>
    <n v="0"/>
    <n v="1"/>
    <x v="29"/>
    <x v="0"/>
    <x v="1"/>
    <s v="Dhaka"/>
    <x v="0"/>
    <x v="0"/>
    <x v="1"/>
  </r>
  <r>
    <x v="1"/>
    <n v="54"/>
    <n v="1"/>
    <n v="1"/>
    <n v="1"/>
    <x v="1"/>
    <x v="1"/>
    <x v="0"/>
    <s v="Dhaka"/>
    <x v="1"/>
    <x v="1"/>
    <x v="0"/>
  </r>
  <r>
    <x v="1"/>
    <n v="54"/>
    <n v="1"/>
    <n v="1"/>
    <n v="1"/>
    <x v="22"/>
    <x v="0"/>
    <x v="2"/>
    <s v="Dhaka"/>
    <x v="1"/>
    <x v="1"/>
    <x v="0"/>
  </r>
  <r>
    <x v="1"/>
    <n v="18"/>
    <n v="1"/>
    <n v="1"/>
    <n v="1"/>
    <x v="0"/>
    <x v="1"/>
    <x v="0"/>
    <s v="Dhaka"/>
    <x v="1"/>
    <x v="1"/>
    <x v="1"/>
  </r>
  <r>
    <x v="0"/>
    <n v="19"/>
    <n v="1"/>
    <n v="1"/>
    <n v="1"/>
    <x v="25"/>
    <x v="0"/>
    <x v="2"/>
    <s v="Dhaka"/>
    <x v="1"/>
    <x v="1"/>
    <x v="2"/>
  </r>
  <r>
    <x v="0"/>
    <n v="47"/>
    <n v="0"/>
    <n v="0"/>
    <n v="1"/>
    <x v="6"/>
    <x v="1"/>
    <x v="2"/>
    <s v="Dhaka"/>
    <x v="0"/>
    <x v="0"/>
    <x v="0"/>
  </r>
  <r>
    <x v="0"/>
    <n v="38"/>
    <n v="0"/>
    <n v="0"/>
    <n v="1"/>
    <x v="6"/>
    <x v="0"/>
    <x v="1"/>
    <s v="Dhaka"/>
    <x v="0"/>
    <x v="0"/>
    <x v="0"/>
  </r>
  <r>
    <x v="1"/>
    <n v="20"/>
    <n v="0"/>
    <n v="0"/>
    <n v="0"/>
    <x v="20"/>
    <x v="1"/>
    <x v="0"/>
    <s v="Dhaka"/>
    <x v="0"/>
    <x v="0"/>
    <x v="2"/>
  </r>
  <r>
    <x v="1"/>
    <n v="65"/>
    <n v="1"/>
    <n v="1"/>
    <n v="0"/>
    <x v="10"/>
    <x v="0"/>
    <x v="2"/>
    <s v="Dhaka"/>
    <x v="1"/>
    <x v="1"/>
    <x v="3"/>
  </r>
  <r>
    <x v="0"/>
    <n v="29"/>
    <n v="1"/>
    <n v="1"/>
    <n v="0"/>
    <x v="21"/>
    <x v="1"/>
    <x v="0"/>
    <s v="Dhaka"/>
    <x v="1"/>
    <x v="1"/>
    <x v="2"/>
  </r>
  <r>
    <x v="0"/>
    <n v="8"/>
    <n v="0"/>
    <n v="0"/>
    <n v="0"/>
    <x v="27"/>
    <x v="0"/>
    <x v="0"/>
    <s v="Dhaka"/>
    <x v="0"/>
    <x v="0"/>
    <x v="4"/>
  </r>
  <r>
    <x v="0"/>
    <n v="45"/>
    <n v="1"/>
    <n v="1"/>
    <n v="1"/>
    <x v="5"/>
    <x v="1"/>
    <x v="0"/>
    <s v="Dhaka"/>
    <x v="1"/>
    <x v="1"/>
    <x v="0"/>
  </r>
  <r>
    <x v="0"/>
    <n v="9"/>
    <n v="1"/>
    <n v="1"/>
    <n v="0"/>
    <x v="23"/>
    <x v="0"/>
    <x v="0"/>
    <s v="Dhaka"/>
    <x v="1"/>
    <x v="1"/>
    <x v="4"/>
  </r>
  <r>
    <x v="1"/>
    <n v="27"/>
    <n v="0"/>
    <n v="0"/>
    <n v="0"/>
    <x v="28"/>
    <x v="1"/>
    <x v="0"/>
    <s v="Dhaka"/>
    <x v="0"/>
    <x v="0"/>
    <x v="2"/>
  </r>
  <r>
    <x v="1"/>
    <n v="59"/>
    <n v="1"/>
    <n v="1"/>
    <n v="1"/>
    <x v="31"/>
    <x v="0"/>
    <x v="1"/>
    <s v="Dhaka"/>
    <x v="1"/>
    <x v="1"/>
    <x v="0"/>
  </r>
  <r>
    <x v="0"/>
    <n v="16"/>
    <n v="1"/>
    <n v="1"/>
    <n v="0"/>
    <x v="2"/>
    <x v="1"/>
    <x v="2"/>
    <s v="Dhaka"/>
    <x v="1"/>
    <x v="1"/>
    <x v="1"/>
  </r>
  <r>
    <x v="0"/>
    <n v="8"/>
    <n v="0"/>
    <n v="0"/>
    <n v="0"/>
    <x v="34"/>
    <x v="0"/>
    <x v="1"/>
    <s v="Dhaka"/>
    <x v="0"/>
    <x v="0"/>
    <x v="4"/>
  </r>
  <r>
    <x v="0"/>
    <n v="36"/>
    <n v="1"/>
    <n v="1"/>
    <n v="0"/>
    <x v="28"/>
    <x v="1"/>
    <x v="2"/>
    <s v="Dhaka"/>
    <x v="1"/>
    <x v="1"/>
    <x v="0"/>
  </r>
  <r>
    <x v="1"/>
    <n v="38"/>
    <n v="0"/>
    <n v="0"/>
    <n v="1"/>
    <x v="19"/>
    <x v="0"/>
    <x v="0"/>
    <s v="Dhaka"/>
    <x v="0"/>
    <x v="0"/>
    <x v="0"/>
  </r>
  <r>
    <x v="0"/>
    <n v="56"/>
    <n v="1"/>
    <n v="1"/>
    <n v="1"/>
    <x v="17"/>
    <x v="1"/>
    <x v="0"/>
    <s v="Dhaka"/>
    <x v="1"/>
    <x v="1"/>
    <x v="0"/>
  </r>
  <r>
    <x v="1"/>
    <n v="35"/>
    <n v="1"/>
    <n v="1"/>
    <n v="0"/>
    <x v="0"/>
    <x v="0"/>
    <x v="1"/>
    <s v="Dhaka"/>
    <x v="1"/>
    <x v="1"/>
    <x v="2"/>
  </r>
  <r>
    <x v="0"/>
    <n v="18"/>
    <n v="1"/>
    <n v="1"/>
    <n v="0"/>
    <x v="30"/>
    <x v="1"/>
    <x v="2"/>
    <s v="Dhaka"/>
    <x v="1"/>
    <x v="1"/>
    <x v="1"/>
  </r>
  <r>
    <x v="0"/>
    <n v="13"/>
    <n v="1"/>
    <n v="1"/>
    <n v="0"/>
    <x v="24"/>
    <x v="0"/>
    <x v="1"/>
    <s v="Dhaka"/>
    <x v="1"/>
    <x v="1"/>
    <x v="1"/>
  </r>
  <r>
    <x v="1"/>
    <n v="23"/>
    <n v="0"/>
    <n v="1"/>
    <n v="0"/>
    <x v="10"/>
    <x v="1"/>
    <x v="0"/>
    <s v="Dhaka"/>
    <x v="1"/>
    <x v="1"/>
    <x v="2"/>
  </r>
  <r>
    <x v="0"/>
    <n v="14"/>
    <n v="1"/>
    <n v="1"/>
    <n v="1"/>
    <x v="29"/>
    <x v="0"/>
    <x v="0"/>
    <s v="Dhaka"/>
    <x v="1"/>
    <x v="1"/>
    <x v="1"/>
  </r>
  <r>
    <x v="0"/>
    <n v="21"/>
    <n v="1"/>
    <n v="1"/>
    <n v="0"/>
    <x v="13"/>
    <x v="1"/>
    <x v="1"/>
    <s v="Dhaka"/>
    <x v="1"/>
    <x v="1"/>
    <x v="2"/>
  </r>
  <r>
    <x v="1"/>
    <n v="39"/>
    <n v="1"/>
    <n v="1"/>
    <n v="1"/>
    <x v="26"/>
    <x v="0"/>
    <x v="1"/>
    <s v="Dhaka"/>
    <x v="1"/>
    <x v="1"/>
    <x v="0"/>
  </r>
  <r>
    <x v="0"/>
    <n v="39"/>
    <n v="1"/>
    <n v="1"/>
    <n v="1"/>
    <x v="0"/>
    <x v="1"/>
    <x v="0"/>
    <s v="Dhaka"/>
    <x v="1"/>
    <x v="1"/>
    <x v="0"/>
  </r>
  <r>
    <x v="1"/>
    <n v="34"/>
    <n v="0"/>
    <n v="0"/>
    <n v="0"/>
    <x v="2"/>
    <x v="0"/>
    <x v="1"/>
    <s v="Dhaka"/>
    <x v="0"/>
    <x v="0"/>
    <x v="2"/>
  </r>
  <r>
    <x v="0"/>
    <n v="36"/>
    <n v="1"/>
    <n v="1"/>
    <n v="1"/>
    <x v="19"/>
    <x v="1"/>
    <x v="0"/>
    <s v="Dhaka"/>
    <x v="1"/>
    <x v="1"/>
    <x v="0"/>
  </r>
  <r>
    <x v="0"/>
    <n v="43"/>
    <n v="0"/>
    <n v="1"/>
    <n v="0"/>
    <x v="22"/>
    <x v="0"/>
    <x v="2"/>
    <s v="Dhaka"/>
    <x v="1"/>
    <x v="1"/>
    <x v="0"/>
  </r>
  <r>
    <x v="1"/>
    <n v="39"/>
    <n v="1"/>
    <n v="1"/>
    <n v="1"/>
    <x v="18"/>
    <x v="1"/>
    <x v="0"/>
    <s v="Dhaka"/>
    <x v="1"/>
    <x v="1"/>
    <x v="0"/>
  </r>
  <r>
    <x v="0"/>
    <n v="53"/>
    <n v="1"/>
    <n v="1"/>
    <n v="1"/>
    <x v="26"/>
    <x v="0"/>
    <x v="1"/>
    <s v="Dhaka"/>
    <x v="1"/>
    <x v="1"/>
    <x v="0"/>
  </r>
  <r>
    <x v="1"/>
    <n v="45"/>
    <n v="1"/>
    <n v="1"/>
    <n v="1"/>
    <x v="21"/>
    <x v="1"/>
    <x v="2"/>
    <s v="Dhaka"/>
    <x v="1"/>
    <x v="1"/>
    <x v="0"/>
  </r>
  <r>
    <x v="0"/>
    <n v="12"/>
    <n v="0"/>
    <n v="0"/>
    <n v="1"/>
    <x v="18"/>
    <x v="0"/>
    <x v="0"/>
    <s v="Dhaka"/>
    <x v="0"/>
    <x v="0"/>
    <x v="4"/>
  </r>
  <r>
    <x v="0"/>
    <n v="28"/>
    <n v="1"/>
    <n v="1"/>
    <n v="0"/>
    <x v="3"/>
    <x v="1"/>
    <x v="1"/>
    <s v="Dhaka"/>
    <x v="1"/>
    <x v="1"/>
    <x v="2"/>
  </r>
  <r>
    <x v="1"/>
    <n v="14"/>
    <n v="1"/>
    <n v="1"/>
    <n v="0"/>
    <x v="23"/>
    <x v="0"/>
    <x v="0"/>
    <s v="Dhaka"/>
    <x v="1"/>
    <x v="1"/>
    <x v="1"/>
  </r>
  <r>
    <x v="1"/>
    <n v="10"/>
    <n v="0"/>
    <n v="0"/>
    <n v="0"/>
    <x v="34"/>
    <x v="1"/>
    <x v="0"/>
    <s v="Dhaka"/>
    <x v="0"/>
    <x v="0"/>
    <x v="4"/>
  </r>
  <r>
    <x v="1"/>
    <n v="64"/>
    <n v="1"/>
    <n v="1"/>
    <n v="0"/>
    <x v="15"/>
    <x v="0"/>
    <x v="1"/>
    <s v="Dhaka"/>
    <x v="1"/>
    <x v="1"/>
    <x v="3"/>
  </r>
  <r>
    <x v="1"/>
    <n v="8"/>
    <n v="1"/>
    <n v="1"/>
    <n v="0"/>
    <x v="15"/>
    <x v="1"/>
    <x v="2"/>
    <s v="Dhaka"/>
    <x v="1"/>
    <x v="1"/>
    <x v="4"/>
  </r>
  <r>
    <x v="0"/>
    <n v="43"/>
    <n v="0"/>
    <n v="0"/>
    <n v="1"/>
    <x v="23"/>
    <x v="0"/>
    <x v="1"/>
    <s v="Dhaka"/>
    <x v="0"/>
    <x v="0"/>
    <x v="0"/>
  </r>
  <r>
    <x v="1"/>
    <n v="16"/>
    <n v="0"/>
    <n v="0"/>
    <n v="0"/>
    <x v="25"/>
    <x v="1"/>
    <x v="0"/>
    <s v="Dhaka"/>
    <x v="0"/>
    <x v="0"/>
    <x v="1"/>
  </r>
  <r>
    <x v="0"/>
    <n v="62"/>
    <n v="1"/>
    <n v="1"/>
    <n v="1"/>
    <x v="13"/>
    <x v="0"/>
    <x v="2"/>
    <s v="Dhaka"/>
    <x v="1"/>
    <x v="1"/>
    <x v="3"/>
  </r>
  <r>
    <x v="0"/>
    <n v="35"/>
    <n v="0"/>
    <n v="0"/>
    <n v="0"/>
    <x v="16"/>
    <x v="1"/>
    <x v="0"/>
    <s v="Dhaka"/>
    <x v="0"/>
    <x v="0"/>
    <x v="2"/>
  </r>
  <r>
    <x v="1"/>
    <n v="36"/>
    <n v="0"/>
    <n v="0"/>
    <n v="0"/>
    <x v="1"/>
    <x v="0"/>
    <x v="1"/>
    <s v="Dhaka"/>
    <x v="0"/>
    <x v="0"/>
    <x v="0"/>
  </r>
  <r>
    <x v="0"/>
    <n v="15"/>
    <n v="1"/>
    <n v="1"/>
    <n v="0"/>
    <x v="11"/>
    <x v="1"/>
    <x v="0"/>
    <s v="Dhaka"/>
    <x v="1"/>
    <x v="1"/>
    <x v="1"/>
  </r>
  <r>
    <x v="0"/>
    <n v="11"/>
    <n v="1"/>
    <n v="1"/>
    <n v="0"/>
    <x v="15"/>
    <x v="0"/>
    <x v="0"/>
    <s v="Dhaka"/>
    <x v="1"/>
    <x v="1"/>
    <x v="4"/>
  </r>
  <r>
    <x v="1"/>
    <n v="27"/>
    <n v="1"/>
    <n v="1"/>
    <n v="0"/>
    <x v="23"/>
    <x v="1"/>
    <x v="1"/>
    <s v="Dhaka"/>
    <x v="1"/>
    <x v="1"/>
    <x v="2"/>
  </r>
  <r>
    <x v="1"/>
    <n v="20"/>
    <n v="0"/>
    <n v="0"/>
    <n v="0"/>
    <x v="11"/>
    <x v="0"/>
    <x v="1"/>
    <s v="Dhaka"/>
    <x v="0"/>
    <x v="0"/>
    <x v="2"/>
  </r>
  <r>
    <x v="1"/>
    <n v="28"/>
    <n v="1"/>
    <n v="1"/>
    <n v="0"/>
    <x v="12"/>
    <x v="1"/>
    <x v="2"/>
    <s v="Dhaka"/>
    <x v="1"/>
    <x v="1"/>
    <x v="2"/>
  </r>
  <r>
    <x v="1"/>
    <n v="60"/>
    <n v="1"/>
    <n v="1"/>
    <n v="0"/>
    <x v="1"/>
    <x v="0"/>
    <x v="1"/>
    <s v="Dhaka"/>
    <x v="1"/>
    <x v="1"/>
    <x v="0"/>
  </r>
  <r>
    <x v="1"/>
    <n v="10"/>
    <n v="1"/>
    <n v="1"/>
    <n v="1"/>
    <x v="30"/>
    <x v="1"/>
    <x v="1"/>
    <s v="Dhaka"/>
    <x v="1"/>
    <x v="1"/>
    <x v="4"/>
  </r>
  <r>
    <x v="0"/>
    <n v="39"/>
    <n v="0"/>
    <n v="0"/>
    <n v="1"/>
    <x v="29"/>
    <x v="0"/>
    <x v="2"/>
    <s v="Dhaka"/>
    <x v="0"/>
    <x v="0"/>
    <x v="0"/>
  </r>
  <r>
    <x v="1"/>
    <n v="52"/>
    <n v="0"/>
    <n v="0"/>
    <n v="1"/>
    <x v="34"/>
    <x v="1"/>
    <x v="2"/>
    <s v="Dhaka"/>
    <x v="0"/>
    <x v="0"/>
    <x v="0"/>
  </r>
  <r>
    <x v="0"/>
    <n v="36"/>
    <n v="1"/>
    <n v="1"/>
    <n v="0"/>
    <x v="30"/>
    <x v="0"/>
    <x v="2"/>
    <s v="Dhaka"/>
    <x v="1"/>
    <x v="1"/>
    <x v="0"/>
  </r>
  <r>
    <x v="0"/>
    <n v="39"/>
    <n v="0"/>
    <n v="0"/>
    <n v="0"/>
    <x v="33"/>
    <x v="1"/>
    <x v="0"/>
    <s v="Dhaka"/>
    <x v="0"/>
    <x v="0"/>
    <x v="0"/>
  </r>
  <r>
    <x v="1"/>
    <n v="13"/>
    <n v="0"/>
    <n v="0"/>
    <n v="1"/>
    <x v="27"/>
    <x v="0"/>
    <x v="1"/>
    <s v="Dhaka"/>
    <x v="0"/>
    <x v="0"/>
    <x v="1"/>
  </r>
  <r>
    <x v="0"/>
    <n v="42"/>
    <n v="0"/>
    <n v="0"/>
    <n v="0"/>
    <x v="0"/>
    <x v="1"/>
    <x v="2"/>
    <s v="Dhaka"/>
    <x v="0"/>
    <x v="0"/>
    <x v="0"/>
  </r>
  <r>
    <x v="1"/>
    <n v="30"/>
    <n v="1"/>
    <n v="1"/>
    <n v="1"/>
    <x v="26"/>
    <x v="0"/>
    <x v="0"/>
    <s v="Dhaka"/>
    <x v="1"/>
    <x v="1"/>
    <x v="2"/>
  </r>
  <r>
    <x v="1"/>
    <n v="33"/>
    <n v="0"/>
    <n v="0"/>
    <n v="0"/>
    <x v="23"/>
    <x v="1"/>
    <x v="2"/>
    <s v="Dhaka"/>
    <x v="0"/>
    <x v="0"/>
    <x v="2"/>
  </r>
  <r>
    <x v="0"/>
    <n v="61"/>
    <n v="1"/>
    <n v="1"/>
    <n v="1"/>
    <x v="18"/>
    <x v="0"/>
    <x v="0"/>
    <s v="Dhaka"/>
    <x v="1"/>
    <x v="1"/>
    <x v="3"/>
  </r>
  <r>
    <x v="0"/>
    <n v="47"/>
    <n v="1"/>
    <n v="1"/>
    <n v="1"/>
    <x v="6"/>
    <x v="1"/>
    <x v="0"/>
    <s v="Dhaka"/>
    <x v="1"/>
    <x v="1"/>
    <x v="0"/>
  </r>
  <r>
    <x v="0"/>
    <n v="52"/>
    <n v="0"/>
    <n v="0"/>
    <n v="1"/>
    <x v="29"/>
    <x v="0"/>
    <x v="1"/>
    <s v="Dhaka"/>
    <x v="0"/>
    <x v="0"/>
    <x v="0"/>
  </r>
  <r>
    <x v="1"/>
    <n v="59"/>
    <n v="0"/>
    <n v="0"/>
    <n v="1"/>
    <x v="35"/>
    <x v="1"/>
    <x v="0"/>
    <s v="Dhaka"/>
    <x v="0"/>
    <x v="0"/>
    <x v="0"/>
  </r>
  <r>
    <x v="0"/>
    <n v="29"/>
    <n v="0"/>
    <n v="0"/>
    <n v="0"/>
    <x v="27"/>
    <x v="0"/>
    <x v="0"/>
    <s v="Dhaka"/>
    <x v="0"/>
    <x v="0"/>
    <x v="2"/>
  </r>
  <r>
    <x v="0"/>
    <n v="50"/>
    <n v="1"/>
    <n v="1"/>
    <n v="1"/>
    <x v="21"/>
    <x v="1"/>
    <x v="2"/>
    <s v="Dhaka"/>
    <x v="1"/>
    <x v="1"/>
    <x v="0"/>
  </r>
  <r>
    <x v="0"/>
    <n v="56"/>
    <n v="1"/>
    <n v="1"/>
    <n v="0"/>
    <x v="27"/>
    <x v="0"/>
    <x v="0"/>
    <s v="Dhaka"/>
    <x v="1"/>
    <x v="1"/>
    <x v="0"/>
  </r>
  <r>
    <x v="1"/>
    <n v="55"/>
    <n v="1"/>
    <n v="1"/>
    <n v="0"/>
    <x v="24"/>
    <x v="1"/>
    <x v="0"/>
    <s v="Dhaka"/>
    <x v="1"/>
    <x v="1"/>
    <x v="0"/>
  </r>
  <r>
    <x v="0"/>
    <n v="44"/>
    <n v="1"/>
    <n v="1"/>
    <n v="1"/>
    <x v="16"/>
    <x v="0"/>
    <x v="0"/>
    <s v="Dhaka"/>
    <x v="1"/>
    <x v="1"/>
    <x v="0"/>
  </r>
  <r>
    <x v="1"/>
    <n v="37"/>
    <n v="0"/>
    <n v="0"/>
    <n v="0"/>
    <x v="16"/>
    <x v="1"/>
    <x v="2"/>
    <s v="Dhaka"/>
    <x v="0"/>
    <x v="0"/>
    <x v="0"/>
  </r>
  <r>
    <x v="0"/>
    <n v="42"/>
    <n v="0"/>
    <n v="0"/>
    <n v="1"/>
    <x v="27"/>
    <x v="0"/>
    <x v="2"/>
    <s v="Dhaka"/>
    <x v="0"/>
    <x v="0"/>
    <x v="0"/>
  </r>
  <r>
    <x v="1"/>
    <n v="8"/>
    <n v="0"/>
    <n v="0"/>
    <n v="1"/>
    <x v="6"/>
    <x v="1"/>
    <x v="0"/>
    <s v="Dhaka"/>
    <x v="0"/>
    <x v="0"/>
    <x v="4"/>
  </r>
  <r>
    <x v="1"/>
    <n v="40"/>
    <n v="0"/>
    <n v="0"/>
    <n v="0"/>
    <x v="17"/>
    <x v="0"/>
    <x v="2"/>
    <s v="Dhaka"/>
    <x v="0"/>
    <x v="0"/>
    <x v="0"/>
  </r>
  <r>
    <x v="1"/>
    <n v="56"/>
    <n v="0"/>
    <n v="0"/>
    <n v="1"/>
    <x v="5"/>
    <x v="1"/>
    <x v="2"/>
    <s v="Dhaka"/>
    <x v="0"/>
    <x v="0"/>
    <x v="0"/>
  </r>
  <r>
    <x v="1"/>
    <n v="60"/>
    <n v="0"/>
    <n v="0"/>
    <n v="1"/>
    <x v="15"/>
    <x v="0"/>
    <x v="0"/>
    <s v="Dhaka"/>
    <x v="0"/>
    <x v="0"/>
    <x v="0"/>
  </r>
  <r>
    <x v="1"/>
    <n v="26"/>
    <n v="0"/>
    <n v="0"/>
    <n v="0"/>
    <x v="3"/>
    <x v="1"/>
    <x v="2"/>
    <s v="Dhaka"/>
    <x v="0"/>
    <x v="0"/>
    <x v="2"/>
  </r>
  <r>
    <x v="0"/>
    <n v="65"/>
    <n v="1"/>
    <n v="1"/>
    <n v="0"/>
    <x v="10"/>
    <x v="0"/>
    <x v="0"/>
    <s v="Dhaka"/>
    <x v="1"/>
    <x v="1"/>
    <x v="3"/>
  </r>
  <r>
    <x v="0"/>
    <n v="33"/>
    <n v="1"/>
    <n v="1"/>
    <n v="1"/>
    <x v="30"/>
    <x v="1"/>
    <x v="0"/>
    <s v="Dhaka"/>
    <x v="1"/>
    <x v="1"/>
    <x v="2"/>
  </r>
  <r>
    <x v="0"/>
    <n v="20"/>
    <n v="0"/>
    <n v="0"/>
    <n v="0"/>
    <x v="34"/>
    <x v="0"/>
    <x v="1"/>
    <s v="Dhaka"/>
    <x v="0"/>
    <x v="0"/>
    <x v="2"/>
  </r>
  <r>
    <x v="1"/>
    <n v="20"/>
    <n v="0"/>
    <n v="0"/>
    <n v="0"/>
    <x v="28"/>
    <x v="1"/>
    <x v="1"/>
    <s v="Dhaka"/>
    <x v="0"/>
    <x v="0"/>
    <x v="2"/>
  </r>
  <r>
    <x v="0"/>
    <n v="54"/>
    <n v="1"/>
    <n v="1"/>
    <n v="0"/>
    <x v="32"/>
    <x v="0"/>
    <x v="0"/>
    <s v="Dhaka"/>
    <x v="1"/>
    <x v="1"/>
    <x v="0"/>
  </r>
  <r>
    <x v="1"/>
    <n v="22"/>
    <n v="1"/>
    <n v="1"/>
    <n v="1"/>
    <x v="27"/>
    <x v="1"/>
    <x v="2"/>
    <s v="Dhaka"/>
    <x v="1"/>
    <x v="1"/>
    <x v="2"/>
  </r>
  <r>
    <x v="0"/>
    <n v="16"/>
    <n v="0"/>
    <n v="0"/>
    <n v="0"/>
    <x v="2"/>
    <x v="0"/>
    <x v="2"/>
    <s v="Dhaka"/>
    <x v="0"/>
    <x v="0"/>
    <x v="1"/>
  </r>
  <r>
    <x v="0"/>
    <n v="37"/>
    <n v="0"/>
    <n v="0"/>
    <n v="0"/>
    <x v="34"/>
    <x v="1"/>
    <x v="0"/>
    <s v="Dhaka"/>
    <x v="0"/>
    <x v="0"/>
    <x v="0"/>
  </r>
  <r>
    <x v="0"/>
    <n v="26"/>
    <n v="0"/>
    <n v="0"/>
    <n v="1"/>
    <x v="26"/>
    <x v="0"/>
    <x v="2"/>
    <s v="Dhaka"/>
    <x v="0"/>
    <x v="0"/>
    <x v="2"/>
  </r>
  <r>
    <x v="0"/>
    <n v="27"/>
    <n v="0"/>
    <n v="0"/>
    <n v="0"/>
    <x v="23"/>
    <x v="1"/>
    <x v="2"/>
    <s v="Dhaka"/>
    <x v="0"/>
    <x v="0"/>
    <x v="2"/>
  </r>
  <r>
    <x v="0"/>
    <n v="10"/>
    <n v="0"/>
    <n v="0"/>
    <n v="0"/>
    <x v="32"/>
    <x v="0"/>
    <x v="0"/>
    <s v="Dhaka"/>
    <x v="0"/>
    <x v="0"/>
    <x v="4"/>
  </r>
  <r>
    <x v="0"/>
    <n v="15"/>
    <n v="0"/>
    <n v="0"/>
    <n v="0"/>
    <x v="19"/>
    <x v="1"/>
    <x v="0"/>
    <s v="Dhaka"/>
    <x v="0"/>
    <x v="0"/>
    <x v="1"/>
  </r>
  <r>
    <x v="0"/>
    <n v="17"/>
    <n v="0"/>
    <n v="0"/>
    <n v="0"/>
    <x v="18"/>
    <x v="0"/>
    <x v="2"/>
    <s v="Dhaka"/>
    <x v="0"/>
    <x v="0"/>
    <x v="1"/>
  </r>
  <r>
    <x v="0"/>
    <n v="61"/>
    <n v="1"/>
    <n v="1"/>
    <n v="1"/>
    <x v="0"/>
    <x v="1"/>
    <x v="0"/>
    <s v="Dhaka"/>
    <x v="1"/>
    <x v="1"/>
    <x v="3"/>
  </r>
  <r>
    <x v="1"/>
    <n v="35"/>
    <n v="1"/>
    <n v="1"/>
    <n v="1"/>
    <x v="11"/>
    <x v="0"/>
    <x v="1"/>
    <s v="Dhaka"/>
    <x v="1"/>
    <x v="1"/>
    <x v="2"/>
  </r>
  <r>
    <x v="0"/>
    <n v="55"/>
    <n v="1"/>
    <n v="1"/>
    <n v="1"/>
    <x v="34"/>
    <x v="1"/>
    <x v="1"/>
    <s v="Dhaka"/>
    <x v="1"/>
    <x v="1"/>
    <x v="0"/>
  </r>
  <r>
    <x v="0"/>
    <n v="16"/>
    <n v="1"/>
    <n v="1"/>
    <n v="1"/>
    <x v="25"/>
    <x v="0"/>
    <x v="1"/>
    <s v="Dhaka"/>
    <x v="1"/>
    <x v="1"/>
    <x v="1"/>
  </r>
  <r>
    <x v="1"/>
    <n v="52"/>
    <n v="0"/>
    <n v="0"/>
    <n v="0"/>
    <x v="32"/>
    <x v="1"/>
    <x v="0"/>
    <s v="Dhaka"/>
    <x v="0"/>
    <x v="0"/>
    <x v="0"/>
  </r>
  <r>
    <x v="0"/>
    <n v="50"/>
    <n v="0"/>
    <n v="0"/>
    <n v="0"/>
    <x v="3"/>
    <x v="0"/>
    <x v="1"/>
    <s v="Dhaka"/>
    <x v="0"/>
    <x v="0"/>
    <x v="0"/>
  </r>
  <r>
    <x v="0"/>
    <n v="23"/>
    <n v="1"/>
    <n v="1"/>
    <n v="1"/>
    <x v="8"/>
    <x v="1"/>
    <x v="2"/>
    <s v="Dhaka"/>
    <x v="1"/>
    <x v="1"/>
    <x v="2"/>
  </r>
  <r>
    <x v="1"/>
    <n v="64"/>
    <n v="1"/>
    <n v="1"/>
    <n v="0"/>
    <x v="26"/>
    <x v="0"/>
    <x v="0"/>
    <s v="Dhaka"/>
    <x v="1"/>
    <x v="1"/>
    <x v="3"/>
  </r>
  <r>
    <x v="0"/>
    <n v="50"/>
    <n v="0"/>
    <n v="0"/>
    <n v="0"/>
    <x v="34"/>
    <x v="1"/>
    <x v="2"/>
    <s v="Dhaka"/>
    <x v="0"/>
    <x v="0"/>
    <x v="0"/>
  </r>
  <r>
    <x v="0"/>
    <n v="8"/>
    <n v="0"/>
    <n v="1"/>
    <n v="0"/>
    <x v="28"/>
    <x v="1"/>
    <x v="1"/>
    <s v="Dhaka"/>
    <x v="1"/>
    <x v="1"/>
    <x v="4"/>
  </r>
  <r>
    <x v="0"/>
    <n v="37"/>
    <n v="0"/>
    <n v="0"/>
    <n v="1"/>
    <x v="12"/>
    <x v="1"/>
    <x v="2"/>
    <s v="Dhaka"/>
    <x v="0"/>
    <x v="0"/>
    <x v="0"/>
  </r>
  <r>
    <x v="0"/>
    <n v="63"/>
    <n v="0"/>
    <n v="0"/>
    <n v="0"/>
    <x v="34"/>
    <x v="0"/>
    <x v="1"/>
    <s v="Dhaka"/>
    <x v="0"/>
    <x v="0"/>
    <x v="3"/>
  </r>
  <r>
    <x v="0"/>
    <n v="45"/>
    <n v="0"/>
    <n v="0"/>
    <n v="0"/>
    <x v="18"/>
    <x v="1"/>
    <x v="1"/>
    <s v="Dhaka"/>
    <x v="0"/>
    <x v="0"/>
    <x v="0"/>
  </r>
  <r>
    <x v="0"/>
    <n v="26"/>
    <n v="0"/>
    <n v="0"/>
    <n v="0"/>
    <x v="35"/>
    <x v="0"/>
    <x v="0"/>
    <s v="Dhaka"/>
    <x v="0"/>
    <x v="0"/>
    <x v="2"/>
  </r>
  <r>
    <x v="0"/>
    <n v="24"/>
    <n v="0"/>
    <n v="0"/>
    <n v="0"/>
    <x v="27"/>
    <x v="1"/>
    <x v="1"/>
    <s v="Dhaka"/>
    <x v="0"/>
    <x v="0"/>
    <x v="2"/>
  </r>
  <r>
    <x v="1"/>
    <n v="31"/>
    <n v="1"/>
    <n v="1"/>
    <n v="0"/>
    <x v="29"/>
    <x v="0"/>
    <x v="2"/>
    <s v="Dhaka"/>
    <x v="1"/>
    <x v="1"/>
    <x v="2"/>
  </r>
  <r>
    <x v="0"/>
    <n v="54"/>
    <n v="0"/>
    <n v="0"/>
    <n v="1"/>
    <x v="7"/>
    <x v="1"/>
    <x v="2"/>
    <s v="Dhaka"/>
    <x v="0"/>
    <x v="0"/>
    <x v="0"/>
  </r>
  <r>
    <x v="1"/>
    <n v="60"/>
    <n v="1"/>
    <n v="1"/>
    <n v="1"/>
    <x v="17"/>
    <x v="0"/>
    <x v="0"/>
    <s v="Dhaka"/>
    <x v="1"/>
    <x v="1"/>
    <x v="0"/>
  </r>
  <r>
    <x v="1"/>
    <n v="61"/>
    <n v="1"/>
    <n v="1"/>
    <n v="1"/>
    <x v="4"/>
    <x v="1"/>
    <x v="0"/>
    <s v="Dhaka"/>
    <x v="1"/>
    <x v="1"/>
    <x v="3"/>
  </r>
  <r>
    <x v="1"/>
    <n v="58"/>
    <n v="0"/>
    <n v="1"/>
    <n v="0"/>
    <x v="22"/>
    <x v="0"/>
    <x v="2"/>
    <s v="Dhaka"/>
    <x v="1"/>
    <x v="1"/>
    <x v="0"/>
  </r>
  <r>
    <x v="0"/>
    <n v="39"/>
    <n v="0"/>
    <n v="0"/>
    <n v="1"/>
    <x v="24"/>
    <x v="1"/>
    <x v="2"/>
    <s v="Dhaka"/>
    <x v="0"/>
    <x v="0"/>
    <x v="0"/>
  </r>
  <r>
    <x v="0"/>
    <n v="30"/>
    <n v="0"/>
    <n v="0"/>
    <n v="1"/>
    <x v="25"/>
    <x v="0"/>
    <x v="1"/>
    <s v="Dhaka"/>
    <x v="0"/>
    <x v="0"/>
    <x v="2"/>
  </r>
  <r>
    <x v="1"/>
    <n v="57"/>
    <n v="1"/>
    <n v="1"/>
    <n v="0"/>
    <x v="20"/>
    <x v="1"/>
    <x v="1"/>
    <s v="Dhaka"/>
    <x v="1"/>
    <x v="1"/>
    <x v="0"/>
  </r>
  <r>
    <x v="0"/>
    <n v="40"/>
    <n v="1"/>
    <n v="1"/>
    <n v="0"/>
    <x v="2"/>
    <x v="0"/>
    <x v="2"/>
    <s v="Dhaka"/>
    <x v="1"/>
    <x v="1"/>
    <x v="0"/>
  </r>
  <r>
    <x v="1"/>
    <n v="39"/>
    <n v="0"/>
    <n v="0"/>
    <n v="0"/>
    <x v="33"/>
    <x v="1"/>
    <x v="0"/>
    <s v="Dhaka"/>
    <x v="0"/>
    <x v="0"/>
    <x v="0"/>
  </r>
  <r>
    <x v="0"/>
    <n v="9"/>
    <n v="1"/>
    <n v="1"/>
    <n v="1"/>
    <x v="33"/>
    <x v="0"/>
    <x v="1"/>
    <s v="Dhaka"/>
    <x v="1"/>
    <x v="1"/>
    <x v="4"/>
  </r>
  <r>
    <x v="1"/>
    <n v="26"/>
    <n v="0"/>
    <n v="1"/>
    <n v="0"/>
    <x v="17"/>
    <x v="1"/>
    <x v="1"/>
    <s v="Dhaka"/>
    <x v="1"/>
    <x v="1"/>
    <x v="2"/>
  </r>
  <r>
    <x v="0"/>
    <n v="40"/>
    <n v="1"/>
    <n v="1"/>
    <n v="0"/>
    <x v="30"/>
    <x v="0"/>
    <x v="0"/>
    <s v="Dhaka"/>
    <x v="1"/>
    <x v="1"/>
    <x v="0"/>
  </r>
  <r>
    <x v="1"/>
    <n v="49"/>
    <n v="1"/>
    <n v="1"/>
    <n v="1"/>
    <x v="6"/>
    <x v="1"/>
    <x v="1"/>
    <s v="Dhaka"/>
    <x v="1"/>
    <x v="1"/>
    <x v="0"/>
  </r>
  <r>
    <x v="0"/>
    <n v="29"/>
    <n v="0"/>
    <n v="0"/>
    <n v="1"/>
    <x v="15"/>
    <x v="0"/>
    <x v="2"/>
    <s v="Dhaka"/>
    <x v="0"/>
    <x v="0"/>
    <x v="2"/>
  </r>
  <r>
    <x v="0"/>
    <n v="38"/>
    <n v="1"/>
    <n v="1"/>
    <n v="0"/>
    <x v="27"/>
    <x v="1"/>
    <x v="1"/>
    <s v="Dhaka"/>
    <x v="1"/>
    <x v="1"/>
    <x v="0"/>
  </r>
  <r>
    <x v="1"/>
    <n v="52"/>
    <n v="0"/>
    <n v="0"/>
    <n v="1"/>
    <x v="1"/>
    <x v="0"/>
    <x v="0"/>
    <s v="Dhaka"/>
    <x v="0"/>
    <x v="0"/>
    <x v="0"/>
  </r>
  <r>
    <x v="1"/>
    <n v="64"/>
    <n v="0"/>
    <n v="0"/>
    <n v="0"/>
    <x v="23"/>
    <x v="1"/>
    <x v="0"/>
    <s v="Dhaka"/>
    <x v="0"/>
    <x v="0"/>
    <x v="3"/>
  </r>
  <r>
    <x v="1"/>
    <n v="11"/>
    <n v="0"/>
    <n v="0"/>
    <n v="0"/>
    <x v="27"/>
    <x v="0"/>
    <x v="1"/>
    <s v="Dhaka"/>
    <x v="0"/>
    <x v="0"/>
    <x v="4"/>
  </r>
  <r>
    <x v="1"/>
    <n v="39"/>
    <n v="1"/>
    <n v="1"/>
    <n v="0"/>
    <x v="15"/>
    <x v="1"/>
    <x v="1"/>
    <s v="Dhaka"/>
    <x v="1"/>
    <x v="1"/>
    <x v="0"/>
  </r>
  <r>
    <x v="1"/>
    <n v="39"/>
    <n v="1"/>
    <n v="1"/>
    <n v="0"/>
    <x v="18"/>
    <x v="0"/>
    <x v="2"/>
    <s v="Dhaka"/>
    <x v="1"/>
    <x v="1"/>
    <x v="0"/>
  </r>
  <r>
    <x v="0"/>
    <n v="25"/>
    <n v="1"/>
    <n v="1"/>
    <n v="0"/>
    <x v="34"/>
    <x v="1"/>
    <x v="2"/>
    <s v="Dhaka"/>
    <x v="1"/>
    <x v="1"/>
    <x v="2"/>
  </r>
  <r>
    <x v="1"/>
    <n v="9"/>
    <n v="0"/>
    <n v="0"/>
    <n v="1"/>
    <x v="0"/>
    <x v="0"/>
    <x v="0"/>
    <s v="Dhaka"/>
    <x v="0"/>
    <x v="0"/>
    <x v="4"/>
  </r>
  <r>
    <x v="0"/>
    <n v="61"/>
    <n v="1"/>
    <n v="1"/>
    <n v="0"/>
    <x v="4"/>
    <x v="1"/>
    <x v="0"/>
    <s v="Dhaka"/>
    <x v="1"/>
    <x v="1"/>
    <x v="3"/>
  </r>
  <r>
    <x v="0"/>
    <n v="18"/>
    <n v="0"/>
    <n v="0"/>
    <n v="1"/>
    <x v="33"/>
    <x v="0"/>
    <x v="0"/>
    <s v="Dhaka"/>
    <x v="0"/>
    <x v="0"/>
    <x v="1"/>
  </r>
  <r>
    <x v="0"/>
    <n v="55"/>
    <n v="1"/>
    <n v="1"/>
    <n v="0"/>
    <x v="28"/>
    <x v="1"/>
    <x v="2"/>
    <s v="Dhaka"/>
    <x v="1"/>
    <x v="1"/>
    <x v="0"/>
  </r>
  <r>
    <x v="1"/>
    <n v="11"/>
    <n v="0"/>
    <n v="0"/>
    <n v="0"/>
    <x v="27"/>
    <x v="0"/>
    <x v="0"/>
    <s v="Dhaka"/>
    <x v="0"/>
    <x v="0"/>
    <x v="4"/>
  </r>
  <r>
    <x v="1"/>
    <n v="23"/>
    <n v="1"/>
    <n v="1"/>
    <n v="0"/>
    <x v="25"/>
    <x v="1"/>
    <x v="0"/>
    <s v="Dhaka"/>
    <x v="1"/>
    <x v="1"/>
    <x v="2"/>
  </r>
  <r>
    <x v="0"/>
    <n v="37"/>
    <n v="1"/>
    <n v="1"/>
    <n v="1"/>
    <x v="15"/>
    <x v="0"/>
    <x v="1"/>
    <s v="Dhaka"/>
    <x v="1"/>
    <x v="1"/>
    <x v="0"/>
  </r>
  <r>
    <x v="0"/>
    <n v="33"/>
    <n v="0"/>
    <n v="0"/>
    <n v="1"/>
    <x v="23"/>
    <x v="1"/>
    <x v="1"/>
    <s v="Dhaka"/>
    <x v="0"/>
    <x v="0"/>
    <x v="2"/>
  </r>
  <r>
    <x v="1"/>
    <n v="18"/>
    <n v="1"/>
    <n v="1"/>
    <n v="0"/>
    <x v="8"/>
    <x v="0"/>
    <x v="0"/>
    <s v="Dhaka"/>
    <x v="1"/>
    <x v="1"/>
    <x v="1"/>
  </r>
  <r>
    <x v="0"/>
    <n v="15"/>
    <n v="0"/>
    <n v="0"/>
    <n v="0"/>
    <x v="32"/>
    <x v="1"/>
    <x v="1"/>
    <s v="Dhaka"/>
    <x v="0"/>
    <x v="0"/>
    <x v="1"/>
  </r>
  <r>
    <x v="1"/>
    <n v="44"/>
    <n v="0"/>
    <n v="0"/>
    <n v="1"/>
    <x v="21"/>
    <x v="0"/>
    <x v="1"/>
    <s v="Dhaka"/>
    <x v="0"/>
    <x v="0"/>
    <x v="0"/>
  </r>
  <r>
    <x v="0"/>
    <n v="16"/>
    <n v="1"/>
    <n v="1"/>
    <n v="0"/>
    <x v="6"/>
    <x v="1"/>
    <x v="0"/>
    <s v="Dhaka"/>
    <x v="1"/>
    <x v="1"/>
    <x v="1"/>
  </r>
  <r>
    <x v="1"/>
    <n v="41"/>
    <n v="1"/>
    <n v="1"/>
    <n v="0"/>
    <x v="2"/>
    <x v="0"/>
    <x v="1"/>
    <s v="Dhaka"/>
    <x v="1"/>
    <x v="1"/>
    <x v="0"/>
  </r>
  <r>
    <x v="1"/>
    <n v="45"/>
    <n v="0"/>
    <n v="0"/>
    <n v="1"/>
    <x v="3"/>
    <x v="1"/>
    <x v="0"/>
    <s v="Dhaka"/>
    <x v="0"/>
    <x v="0"/>
    <x v="0"/>
  </r>
  <r>
    <x v="0"/>
    <n v="19"/>
    <n v="1"/>
    <n v="1"/>
    <n v="1"/>
    <x v="2"/>
    <x v="0"/>
    <x v="0"/>
    <s v="Dhaka"/>
    <x v="1"/>
    <x v="1"/>
    <x v="2"/>
  </r>
  <r>
    <x v="0"/>
    <n v="28"/>
    <n v="0"/>
    <n v="0"/>
    <n v="1"/>
    <x v="16"/>
    <x v="1"/>
    <x v="0"/>
    <s v="Dhaka"/>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28DBCA-F0F1-453B-967C-EFB8B8500A03}" name="affected and prevale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H17" firstHeaderRow="0" firstDataRow="1" firstDataCol="1"/>
  <pivotFields count="12">
    <pivotField showAll="0"/>
    <pivotField showAll="0"/>
    <pivotField showAll="0"/>
    <pivotField showAll="0"/>
    <pivotField showAll="0"/>
    <pivotField showAll="0">
      <items count="37">
        <item h="1" x="16"/>
        <item h="1" x="20"/>
        <item h="1" x="27"/>
        <item h="1" x="21"/>
        <item x="18"/>
        <item h="1" x="14"/>
        <item h="1" x="28"/>
        <item h="1"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items count="3">
        <item x="1"/>
        <item x="0"/>
        <item t="default"/>
      </items>
    </pivotField>
    <pivotField showAll="0"/>
    <pivotField showAll="0"/>
    <pivotField axis="axisRow" showAll="0">
      <items count="3">
        <item x="0"/>
        <item x="1"/>
        <item t="default"/>
      </items>
    </pivotField>
    <pivotField dataField="1" showAll="0"/>
    <pivotField showAll="0">
      <items count="11">
        <item m="1" x="7"/>
        <item x="1"/>
        <item m="1" x="6"/>
        <item m="1" x="5"/>
        <item m="1" x="9"/>
        <item x="4"/>
        <item x="0"/>
        <item m="1" x="8"/>
        <item x="3"/>
        <item x="2"/>
        <item t="default"/>
      </items>
    </pivotField>
  </pivotFields>
  <rowFields count="1">
    <field x="9"/>
  </rowFields>
  <rowItems count="3">
    <i>
      <x/>
    </i>
    <i>
      <x v="1"/>
    </i>
    <i t="grand">
      <x/>
    </i>
  </rowItems>
  <colFields count="1">
    <field x="-2"/>
  </colFields>
  <colItems count="2">
    <i>
      <x/>
    </i>
    <i i="1">
      <x v="1"/>
    </i>
  </colItems>
  <dataFields count="2">
    <dataField name="Total Patients" fld="10" subtotal="count" baseField="0" baseItem="0"/>
    <dataField name="Count of Final Outcome" fld="10" subtotal="count" showDataAs="percentOfTotal" baseField="9"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B1F773-2D0D-4816-9B5B-981D28F247D0}" name="Total Patien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F10" firstHeaderRow="1" firstDataRow="1" firstDataCol="0"/>
  <pivotFields count="12">
    <pivotField showAll="0"/>
    <pivotField showAll="0"/>
    <pivotField showAll="0"/>
    <pivotField showAll="0"/>
    <pivotField showAll="0"/>
    <pivotField showAll="0">
      <items count="37">
        <item h="1" x="16"/>
        <item h="1" x="20"/>
        <item h="1" x="27"/>
        <item h="1" x="21"/>
        <item x="18"/>
        <item h="1" x="14"/>
        <item h="1" x="28"/>
        <item h="1"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items count="3">
        <item x="1"/>
        <item x="0"/>
        <item t="default"/>
      </items>
    </pivotField>
    <pivotField showAll="0"/>
    <pivotField showAll="0"/>
    <pivotField showAll="0"/>
    <pivotField dataField="1" showAll="0">
      <items count="3">
        <item x="1"/>
        <item x="0"/>
        <item t="default"/>
      </items>
    </pivotField>
    <pivotField showAll="0">
      <items count="11">
        <item m="1" x="7"/>
        <item x="1"/>
        <item m="1" x="6"/>
        <item m="1" x="5"/>
        <item m="1" x="9"/>
        <item x="4"/>
        <item x="0"/>
        <item m="1" x="8"/>
        <item x="3"/>
        <item x="2"/>
        <item t="default"/>
      </items>
    </pivotField>
  </pivotFields>
  <rowItems count="1">
    <i/>
  </rowItems>
  <colItems count="1">
    <i/>
  </colItems>
  <dataFields count="1">
    <dataField name="Total Patient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987043-BF76-472A-9F3C-91B08A24C53C}" name="Top ten Are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4:C25" firstHeaderRow="1" firstDataRow="1" firstDataCol="1"/>
  <pivotFields count="10">
    <pivotField showAll="0"/>
    <pivotField showAll="0"/>
    <pivotField showAll="0"/>
    <pivotField showAll="0"/>
    <pivotField showAll="0"/>
    <pivotField axis="axisRow" showAll="0" measureFilter="1" sortType="descending">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5"/>
  </rowFields>
  <rowItems count="11">
    <i>
      <x v="13"/>
    </i>
    <i>
      <x v="8"/>
    </i>
    <i>
      <x v="35"/>
    </i>
    <i>
      <x v="3"/>
    </i>
    <i>
      <x v="23"/>
    </i>
    <i>
      <x v="22"/>
    </i>
    <i>
      <x v="14"/>
    </i>
    <i>
      <x v="1"/>
    </i>
    <i>
      <x v="15"/>
    </i>
    <i>
      <x v="9"/>
    </i>
    <i t="grand">
      <x/>
    </i>
  </rowItems>
  <colItems count="1">
    <i/>
  </colItems>
  <dataFields count="1">
    <dataField name="Sum of Outcome" fld="9" baseField="5" baseItem="8" numFmtId="1"/>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285161-D44E-4EA2-9B4E-EAFE3A4F9925}" name="average 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F21" firstHeaderRow="1" firstDataRow="1" firstDataCol="0"/>
  <pivotFields count="12">
    <pivotField showAll="0"/>
    <pivotField dataField="1" showAll="0"/>
    <pivotField showAll="0"/>
    <pivotField showAll="0"/>
    <pivotField showAll="0"/>
    <pivotField showAll="0">
      <items count="37">
        <item h="1" x="16"/>
        <item h="1" x="20"/>
        <item h="1" x="27"/>
        <item h="1" x="21"/>
        <item x="18"/>
        <item h="1" x="14"/>
        <item h="1" x="28"/>
        <item h="1"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items count="3">
        <item x="1"/>
        <item x="0"/>
        <item t="default"/>
      </items>
    </pivotField>
    <pivotField showAll="0"/>
    <pivotField showAll="0"/>
    <pivotField showAll="0"/>
    <pivotField showAll="0">
      <items count="3">
        <item x="1"/>
        <item x="0"/>
        <item t="default"/>
      </items>
    </pivotField>
    <pivotField showAll="0">
      <items count="11">
        <item m="1" x="7"/>
        <item x="1"/>
        <item m="1" x="6"/>
        <item m="1" x="5"/>
        <item m="1" x="9"/>
        <item x="4"/>
        <item x="0"/>
        <item m="1" x="8"/>
        <item x="3"/>
        <item x="2"/>
        <item t="default"/>
      </items>
    </pivotField>
  </pivotFields>
  <rowItems count="1">
    <i/>
  </rowItems>
  <colItems count="1">
    <i/>
  </colItems>
  <dataFields count="1">
    <dataField name="Average of Age" fld="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5BA7A6-0235-400C-BE66-8B728B39EF60}" name="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24:C27" firstHeaderRow="1" firstDataRow="1" firstDataCol="1"/>
  <pivotFields count="12">
    <pivotField axis="axisRow" showAll="0">
      <items count="3">
        <item x="0"/>
        <item x="1"/>
        <item t="default"/>
      </items>
    </pivotField>
    <pivotField showAll="0"/>
    <pivotField showAll="0"/>
    <pivotField showAll="0"/>
    <pivotField showAll="0"/>
    <pivotField showAll="0">
      <items count="37">
        <item h="1" x="16"/>
        <item h="1" x="20"/>
        <item h="1" x="27"/>
        <item h="1" x="21"/>
        <item x="18"/>
        <item h="1" x="14"/>
        <item h="1" x="28"/>
        <item h="1"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items count="3">
        <item x="1"/>
        <item x="0"/>
        <item t="default"/>
      </items>
    </pivotField>
    <pivotField showAll="0"/>
    <pivotField showAll="0"/>
    <pivotField dataField="1" showAll="0"/>
    <pivotField showAll="0">
      <items count="3">
        <item x="1"/>
        <item x="0"/>
        <item t="default"/>
      </items>
    </pivotField>
    <pivotField showAll="0">
      <items count="11">
        <item m="1" x="7"/>
        <item x="1"/>
        <item m="1" x="6"/>
        <item m="1" x="5"/>
        <item m="1" x="9"/>
        <item x="4"/>
        <item x="0"/>
        <item m="1" x="8"/>
        <item x="3"/>
        <item x="2"/>
        <item t="default"/>
      </items>
    </pivotField>
  </pivotFields>
  <rowFields count="1">
    <field x="0"/>
  </rowFields>
  <rowItems count="3">
    <i>
      <x/>
    </i>
    <i>
      <x v="1"/>
    </i>
    <i t="grand">
      <x/>
    </i>
  </rowItems>
  <colItems count="1">
    <i/>
  </colItems>
  <dataFields count="1">
    <dataField name="Number of patients" fld="9" subtotal="count" baseField="0" baseItem="0"/>
  </dataFields>
  <chartFormats count="6">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1"/>
          </reference>
        </references>
      </pivotArea>
    </chartFormat>
    <chartFormat chart="15" format="2">
      <pivotArea type="data" outline="0" fieldPosition="0">
        <references count="2">
          <reference field="4294967294" count="1" selected="0">
            <x v="0"/>
          </reference>
          <reference field="0"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0" count="1" selected="0">
            <x v="0"/>
          </reference>
        </references>
      </pivotArea>
    </chartFormat>
    <chartFormat chart="2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F125C6-9B3E-4F08-8557-58973545A478}" name="Disease cases by Age Group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10" firstHeaderRow="1" firstDataRow="2" firstDataCol="1"/>
  <pivotFields count="12">
    <pivotField showAll="0"/>
    <pivotField showAll="0"/>
    <pivotField showAll="0"/>
    <pivotField showAll="0"/>
    <pivotField showAll="0"/>
    <pivotField showAll="0">
      <items count="37">
        <item h="1" x="16"/>
        <item h="1" x="20"/>
        <item h="1" x="27"/>
        <item h="1" x="21"/>
        <item x="18"/>
        <item h="1" x="14"/>
        <item h="1" x="28"/>
        <item h="1"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items count="3">
        <item x="1"/>
        <item x="0"/>
        <item t="default"/>
      </items>
    </pivotField>
    <pivotField showAll="0"/>
    <pivotField showAll="0"/>
    <pivotField showAll="0"/>
    <pivotField axis="axisCol" dataField="1" showAll="0">
      <items count="3">
        <item x="1"/>
        <item x="0"/>
        <item t="default"/>
      </items>
    </pivotField>
    <pivotField axis="axisRow" showAll="0" sortType="descending">
      <items count="11">
        <item m="1" x="7"/>
        <item m="1" x="6"/>
        <item m="1" x="9"/>
        <item m="1" x="8"/>
        <item m="1" x="5"/>
        <item x="1"/>
        <item x="3"/>
        <item x="4"/>
        <item x="0"/>
        <item x="2"/>
        <item t="default"/>
      </items>
      <autoSortScope>
        <pivotArea dataOnly="0" outline="0" fieldPosition="0">
          <references count="1">
            <reference field="4294967294" count="1" selected="0">
              <x v="0"/>
            </reference>
          </references>
        </pivotArea>
      </autoSortScope>
    </pivotField>
  </pivotFields>
  <rowFields count="1">
    <field x="11"/>
  </rowFields>
  <rowItems count="6">
    <i>
      <x v="8"/>
    </i>
    <i>
      <x v="9"/>
    </i>
    <i>
      <x v="5"/>
    </i>
    <i>
      <x v="6"/>
    </i>
    <i>
      <x v="7"/>
    </i>
    <i t="grand">
      <x/>
    </i>
  </rowItems>
  <colFields count="1">
    <field x="10"/>
  </colFields>
  <colItems count="3">
    <i>
      <x/>
    </i>
    <i>
      <x v="1"/>
    </i>
    <i t="grand">
      <x/>
    </i>
  </colItems>
  <dataFields count="1">
    <dataField name="Count of Final Outcome" fld="10" subtotal="count" showDataAs="percentOfTotal" baseField="11" baseItem="8" numFmtId="9"/>
  </dataFields>
  <chartFormats count="6">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10" count="1" selected="0">
            <x v="1"/>
          </reference>
        </references>
      </pivotArea>
    </chartFormat>
    <chartFormat chart="4" format="5" series="1">
      <pivotArea type="data" outline="0" fieldPosition="0">
        <references count="2">
          <reference field="4294967294" count="1" selected="0">
            <x v="0"/>
          </reference>
          <reference field="10" count="1" selected="0">
            <x v="0"/>
          </reference>
        </references>
      </pivotArea>
    </chartFormat>
    <chartFormat chart="17" format="8" series="1">
      <pivotArea type="data" outline="0" fieldPosition="0">
        <references count="2">
          <reference field="4294967294" count="1" selected="0">
            <x v="0"/>
          </reference>
          <reference field="10" count="1" selected="0">
            <x v="0"/>
          </reference>
        </references>
      </pivotArea>
    </chartFormat>
    <chartFormat chart="17" format="9" series="1">
      <pivotArea type="data" outline="0" fieldPosition="0">
        <references count="2">
          <reference field="4294967294" count="1" selected="0">
            <x v="0"/>
          </reference>
          <reference field="10" count="1" selected="0">
            <x v="1"/>
          </reference>
        </references>
      </pivotArea>
    </chartFormat>
    <chartFormat chart="1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5B229C-383A-4D72-9264-02728F7DDE4C}" name="Area Type By cas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rea Types">
  <location ref="B15:C18" firstHeaderRow="1" firstDataRow="1" firstDataCol="1"/>
  <pivotFields count="12">
    <pivotField showAll="0"/>
    <pivotField showAll="0"/>
    <pivotField showAll="0"/>
    <pivotField showAll="0"/>
    <pivotField showAll="0"/>
    <pivotField showAll="0">
      <items count="37">
        <item h="1" x="16"/>
        <item h="1" x="20"/>
        <item h="1" x="27"/>
        <item h="1" x="21"/>
        <item x="18"/>
        <item h="1" x="14"/>
        <item h="1" x="28"/>
        <item h="1"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items count="11">
        <item m="1" x="7"/>
        <item x="1"/>
        <item m="1" x="6"/>
        <item m="1" x="5"/>
        <item m="1" x="9"/>
        <item x="4"/>
        <item x="0"/>
        <item m="1" x="8"/>
        <item x="3"/>
        <item x="2"/>
        <item t="default"/>
      </items>
    </pivotField>
  </pivotFields>
  <rowFields count="1">
    <field x="6"/>
  </rowFields>
  <rowItems count="3">
    <i>
      <x/>
    </i>
    <i>
      <x v="1"/>
    </i>
    <i t="grand">
      <x/>
    </i>
  </rowItems>
  <colItems count="1">
    <i/>
  </colItems>
  <dataFields count="1">
    <dataField name="Dengue Cases"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5F14C7-02AF-4E78-A971-4B9F47FED376}" name="House Typ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House Type">
  <location ref="A3:C7" firstHeaderRow="0" firstDataRow="1" firstDataCol="1"/>
  <pivotFields count="12">
    <pivotField showAll="0"/>
    <pivotField showAll="0"/>
    <pivotField showAll="0"/>
    <pivotField showAll="0"/>
    <pivotField showAll="0"/>
    <pivotField showAll="0">
      <items count="37">
        <item h="1" x="16"/>
        <item h="1" x="20"/>
        <item h="1" x="27"/>
        <item h="1" x="21"/>
        <item x="18"/>
        <item h="1" x="14"/>
        <item h="1" x="28"/>
        <item h="1"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items count="3">
        <item x="1"/>
        <item x="0"/>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items count="11">
        <item m="1" x="7"/>
        <item x="1"/>
        <item m="1" x="6"/>
        <item m="1" x="5"/>
        <item m="1" x="9"/>
        <item x="4"/>
        <item x="0"/>
        <item m="1" x="8"/>
        <item x="3"/>
        <item x="2"/>
        <item t="default"/>
      </items>
    </pivotField>
  </pivotFields>
  <rowFields count="1">
    <field x="7"/>
  </rowFields>
  <rowItems count="4">
    <i>
      <x v="1"/>
    </i>
    <i>
      <x v="2"/>
    </i>
    <i>
      <x/>
    </i>
    <i t="grand">
      <x/>
    </i>
  </rowItems>
  <colFields count="1">
    <field x="-2"/>
  </colFields>
  <colItems count="2">
    <i>
      <x/>
    </i>
    <i i="1">
      <x v="1"/>
    </i>
  </colItems>
  <dataFields count="2">
    <dataField name="Dengue cases" fld="9" baseField="0" baseItem="0"/>
    <dataField name="Total" fld="9" subtotal="count" baseField="7"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7BA22D-80EC-4325-8D2E-3C53C45A94FE}" name="Gender Wise Dignostic View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17:F20" firstHeaderRow="0" firstDataRow="1" firstDataCol="1"/>
  <pivotFields count="12">
    <pivotField axis="axisRow" showAll="0">
      <items count="3">
        <item x="0"/>
        <item x="1"/>
        <item t="default"/>
      </items>
    </pivotField>
    <pivotField showAll="0"/>
    <pivotField dataField="1" showAll="0"/>
    <pivotField dataField="1" showAll="0"/>
    <pivotField dataField="1" showAll="0"/>
    <pivotField showAll="0">
      <items count="37">
        <item h="1" x="16"/>
        <item h="1" x="20"/>
        <item h="1" x="27"/>
        <item h="1" x="21"/>
        <item x="18"/>
        <item h="1" x="14"/>
        <item h="1" x="28"/>
        <item h="1"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items count="3">
        <item x="1"/>
        <item x="0"/>
        <item t="default"/>
      </items>
    </pivotField>
    <pivotField showAll="0"/>
    <pivotField showAll="0"/>
    <pivotField showAll="0">
      <items count="3">
        <item x="0"/>
        <item x="1"/>
        <item t="default"/>
      </items>
    </pivotField>
    <pivotField showAll="0">
      <items count="3">
        <item x="1"/>
        <item x="0"/>
        <item t="default"/>
      </items>
    </pivotField>
    <pivotField showAll="0">
      <items count="11">
        <item m="1" x="7"/>
        <item x="1"/>
        <item m="1" x="6"/>
        <item m="1" x="5"/>
        <item m="1" x="9"/>
        <item x="4"/>
        <item x="0"/>
        <item m="1" x="8"/>
        <item x="3"/>
        <item x="2"/>
        <item t="default"/>
      </items>
    </pivotField>
  </pivotFields>
  <rowFields count="1">
    <field x="0"/>
  </rowFields>
  <rowItems count="3">
    <i>
      <x/>
    </i>
    <i>
      <x v="1"/>
    </i>
    <i t="grand">
      <x/>
    </i>
  </rowItems>
  <colFields count="1">
    <field x="-2"/>
  </colFields>
  <colItems count="3">
    <i>
      <x/>
    </i>
    <i i="1">
      <x v="1"/>
    </i>
    <i i="2">
      <x v="2"/>
    </i>
  </colItems>
  <dataFields count="3">
    <dataField name="Total NS1" fld="2" baseField="0" baseItem="0"/>
    <dataField name="Total IgG" fld="3" baseField="0" baseItem="1"/>
    <dataField name="Total IgM" fld="4" baseField="0" baseItem="2"/>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 chart="0" format="4">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4"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1"/>
          </reference>
        </references>
      </pivotArea>
    </chartFormat>
    <chartFormat chart="14"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2E4922-8B78-487C-96B1-75434E127897}" name="Count Of dignostic mark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4" firstHeaderRow="0" firstDataRow="1" firstDataCol="0"/>
  <pivotFields count="12">
    <pivotField showAll="0"/>
    <pivotField showAll="0"/>
    <pivotField dataField="1" showAll="0"/>
    <pivotField dataField="1" showAll="0"/>
    <pivotField dataField="1" showAll="0"/>
    <pivotField showAll="0">
      <items count="37">
        <item h="1" x="16"/>
        <item h="1" x="20"/>
        <item h="1" x="27"/>
        <item h="1" x="21"/>
        <item x="18"/>
        <item h="1" x="14"/>
        <item h="1" x="28"/>
        <item h="1"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items count="3">
        <item x="1"/>
        <item x="0"/>
        <item t="default"/>
      </items>
    </pivotField>
    <pivotField showAll="0"/>
    <pivotField showAll="0"/>
    <pivotField showAll="0"/>
    <pivotField showAll="0">
      <items count="3">
        <item x="1"/>
        <item x="0"/>
        <item t="default"/>
      </items>
    </pivotField>
    <pivotField showAll="0">
      <items count="11">
        <item m="1" x="7"/>
        <item x="1"/>
        <item m="1" x="6"/>
        <item m="1" x="5"/>
        <item m="1" x="9"/>
        <item x="4"/>
        <item x="0"/>
        <item m="1" x="8"/>
        <item x="3"/>
        <item x="2"/>
        <item t="default"/>
      </items>
    </pivotField>
  </pivotFields>
  <rowItems count="1">
    <i/>
  </rowItems>
  <colFields count="1">
    <field x="-2"/>
  </colFields>
  <colItems count="3">
    <i>
      <x/>
    </i>
    <i i="1">
      <x v="1"/>
    </i>
    <i i="2">
      <x v="2"/>
    </i>
  </colItems>
  <dataFields count="3">
    <dataField name="Total NS1" fld="2" baseField="0" baseItem="0"/>
    <dataField name="Total IgG" fld="3" baseField="0" baseItem="1"/>
    <dataField name="Total IgM" fld="4" baseField="0" baseItem="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1">
          <reference field="4294967294" count="1" selected="0">
            <x v="1"/>
          </reference>
        </references>
      </pivotArea>
    </chartFormat>
    <chartFormat chart="0" format="4">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Outcome" xr10:uid="{0998029A-E10E-41E7-88DF-FAFC200E460B}" sourceName="Final Outcome">
  <pivotTables>
    <pivotTable tabId="7" name="Disease cases by Age Group "/>
    <pivotTable tabId="7" name="Gender"/>
    <pivotTable tabId="9" name="Count Of dignostic markers"/>
    <pivotTable tabId="9" name="Gender Wise Dignostic Views"/>
    <pivotTable tabId="8" name="House Type"/>
    <pivotTable tabId="8" name="Area Type By cases"/>
  </pivotTables>
  <data>
    <tabular pivotCacheId="168306164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1DF586D6-8A89-4C69-8509-1ED3A214F906}" sourceName="Age Group">
  <pivotTables>
    <pivotTable tabId="7" name="Gender"/>
    <pivotTable tabId="9" name="Count Of dignostic markers"/>
    <pivotTable tabId="9" name="Gender Wise Dignostic Views"/>
    <pivotTable tabId="8" name="Area Type By cases"/>
    <pivotTable tabId="8" name="House Type"/>
    <pivotTable tabId="5" name="affected and prevalence"/>
    <pivotTable tabId="5" name="Total Patients"/>
    <pivotTable tabId="5" name="average age"/>
  </pivotTables>
  <data>
    <tabular pivotCacheId="1683061649" showMissing="0" crossFilter="none">
      <items count="10">
        <i x="1" s="1"/>
        <i x="4" s="1"/>
        <i x="0" s="1"/>
        <i x="3" s="1"/>
        <i x="2" s="1"/>
        <i x="7" s="1"/>
        <i x="6" s="1"/>
        <i x="5" s="1"/>
        <i x="9"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A9534CA0-5BF1-47EA-93A5-B66D9ED217A2}" sourceName="Area">
  <pivotTables>
    <pivotTable tabId="5" name="affected and prevalence"/>
    <pivotTable tabId="8" name="House Type"/>
    <pivotTable tabId="8" name="Area Type By cases"/>
    <pivotTable tabId="9" name="Gender Wise Dignostic Views"/>
    <pivotTable tabId="9" name="Count Of dignostic markers"/>
    <pivotTable tabId="7" name="Gender"/>
    <pivotTable tabId="7" name="Disease cases by Age Group "/>
    <pivotTable tabId="5" name="Total Patients"/>
    <pivotTable tabId="5" name="average age"/>
  </pivotTables>
  <data>
    <tabular pivotCacheId="1683061649">
      <items count="36">
        <i x="16"/>
        <i x="20"/>
        <i x="27"/>
        <i x="21"/>
        <i x="18" s="1"/>
        <i x="14"/>
        <i x="28"/>
        <i x="1"/>
        <i x="26"/>
        <i x="5"/>
        <i x="4"/>
        <i x="33"/>
        <i x="23"/>
        <i x="15"/>
        <i x="32"/>
        <i x="8"/>
        <i x="13"/>
        <i x="17"/>
        <i x="29"/>
        <i x="35"/>
        <i x="31"/>
        <i x="25"/>
        <i x="0"/>
        <i x="10"/>
        <i x="3"/>
        <i x="6"/>
        <i x="9"/>
        <i x="2"/>
        <i x="19"/>
        <i x="34"/>
        <i x="22"/>
        <i x="11"/>
        <i x="7"/>
        <i x="12"/>
        <i x="24"/>
        <i x="3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Type" xr10:uid="{4600F459-22F8-447A-9C61-FFD8E58AFF44}" sourceName="AreaType">
  <pivotTables>
    <pivotTable tabId="5" name="affected and prevalence"/>
    <pivotTable tabId="7" name="Disease cases by Age Group "/>
    <pivotTable tabId="7" name="Gender"/>
    <pivotTable tabId="9" name="Count Of dignostic markers"/>
    <pivotTable tabId="9" name="Gender Wise Dignostic Views"/>
    <pivotTable tabId="8" name="House Type"/>
    <pivotTable tabId="5" name="average age"/>
    <pivotTable tabId="5" name="Total Patients"/>
  </pivotTables>
  <data>
    <tabular pivotCacheId="168306164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 Outcome 3" xr10:uid="{4B0B7707-9D71-4BDD-BCF4-9CAA224E04CA}" cache="Slicer_Final_Outcome" caption="Test Result" style="SlicerStyleOther1" rowHeight="257175"/>
  <slicer name="Age Group 2" xr10:uid="{4B2848E4-DDB8-4F9D-9C4F-29DFA86261C1}" cache="Slicer_Age_Group1" caption="Age Group" style="SlicerStyleOther1" rowHeight="257175"/>
  <slicer name="Area 2" xr10:uid="{609E1162-06BF-49ED-9705-2DA270DAEA2D}" cache="Slicer_Area1" caption="Area" style="SlicerStyleLight6" rowHeight="257175"/>
  <slicer name="AreaType 1" xr10:uid="{6861C67A-333C-46F0-8482-0422591A3898}" cache="Slicer_AreaType" caption="AreaType" style="SlicerStyleLight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1" xr10:uid="{CFD088F3-F5BB-4D13-8B15-BC1E7CB97237}" cache="Slicer_Area1" caption="Area" rowHeight="257175"/>
  <slicer name="AreaType" xr10:uid="{2550D1EC-03B2-4060-A667-DCC1F8E80FAF}" cache="Slicer_AreaType" caption="AreaTyp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 Outcome 2" xr10:uid="{A9DE7781-E8E3-43EC-A81C-FEC6F666B4D5}" cache="Slicer_Final_Outcome" caption="Final Outcome" rowHeight="257175"/>
  <slicer name="Age Group 1" xr10:uid="{41C8400A-4437-4ACE-8BFE-19FCA3667630}" cache="Slicer_Age_Group1" caption="Age Group" style="SlicerStyleDark3" rowHeight="257175"/>
  <slicer name="Area" xr10:uid="{223EA92B-1C31-405F-9CC4-90BFF92D4D1A}" cache="Slicer_Area1" caption="Area" style="SlicerStyleLight3"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6FD36C55-189D-4F77-83ED-8A9669383ADE}" cache="Slicer_Age_Group1" caption="Age Group"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D323E-074F-47A4-8733-D7DB04D24712}">
  <dimension ref="A1"/>
  <sheetViews>
    <sheetView showGridLines="0" tabSelected="1" zoomScale="69" zoomScaleNormal="82" workbookViewId="0">
      <selection activeCell="Z9" sqref="Z9"/>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1458-2918-48F1-9245-2D7CC6A19185}">
  <dimension ref="A1:L1001"/>
  <sheetViews>
    <sheetView topLeftCell="A28" zoomScale="93" workbookViewId="0">
      <selection activeCell="C7" sqref="C7"/>
    </sheetView>
  </sheetViews>
  <sheetFormatPr defaultRowHeight="14.25"/>
  <cols>
    <col min="6" max="6" width="11.625" customWidth="1"/>
    <col min="7" max="7" width="11.75" customWidth="1"/>
    <col min="8" max="8" width="12.125" customWidth="1"/>
    <col min="9" max="9" width="11.25" customWidth="1"/>
    <col min="10" max="10" width="10.75" customWidth="1"/>
    <col min="11" max="11" width="14" bestFit="1" customWidth="1"/>
    <col min="12" max="12" width="21.875" customWidth="1"/>
  </cols>
  <sheetData>
    <row r="1" spans="1:12">
      <c r="A1" t="s">
        <v>0</v>
      </c>
      <c r="B1" t="s">
        <v>1</v>
      </c>
      <c r="C1" t="s">
        <v>2</v>
      </c>
      <c r="D1" t="s">
        <v>3</v>
      </c>
      <c r="E1" t="s">
        <v>4</v>
      </c>
      <c r="F1" t="s">
        <v>5</v>
      </c>
      <c r="G1" t="s">
        <v>6</v>
      </c>
      <c r="H1" t="s">
        <v>7</v>
      </c>
      <c r="I1" t="s">
        <v>8</v>
      </c>
      <c r="J1" t="s">
        <v>9</v>
      </c>
      <c r="K1" t="s">
        <v>62</v>
      </c>
      <c r="L1" t="s">
        <v>63</v>
      </c>
    </row>
    <row r="2" spans="1:12">
      <c r="A2" t="s">
        <v>10</v>
      </c>
      <c r="B2">
        <v>45</v>
      </c>
      <c r="C2">
        <v>0</v>
      </c>
      <c r="D2">
        <v>0</v>
      </c>
      <c r="E2">
        <v>0</v>
      </c>
      <c r="F2" t="s">
        <v>11</v>
      </c>
      <c r="G2" t="s">
        <v>12</v>
      </c>
      <c r="H2" t="s">
        <v>13</v>
      </c>
      <c r="I2" t="s">
        <v>14</v>
      </c>
      <c r="J2">
        <v>0</v>
      </c>
      <c r="K2" t="str">
        <f>IF(J2=0, "Not Affected", "Affected")</f>
        <v>Not Affected</v>
      </c>
      <c r="L2" t="str" cm="1">
        <f t="array" ref="L2">_xlfn.IFS(B2&gt;60,"Older Adult(&gt;60)",B2&gt;35,"Middle-aged Adult(36-60)",B2&gt;18,"Young Adult(19-35)",B2&gt;12,"Adolescent(13-18)",B2&gt;0,"Child(&lt;13)")</f>
        <v>Middle-aged Adult(36-60)</v>
      </c>
    </row>
    <row r="3" spans="1:12">
      <c r="A3" t="s">
        <v>15</v>
      </c>
      <c r="B3">
        <v>17</v>
      </c>
      <c r="C3">
        <v>0</v>
      </c>
      <c r="D3">
        <v>0</v>
      </c>
      <c r="E3">
        <v>1</v>
      </c>
      <c r="F3" t="s">
        <v>16</v>
      </c>
      <c r="G3" t="s">
        <v>17</v>
      </c>
      <c r="H3" t="s">
        <v>13</v>
      </c>
      <c r="I3" t="s">
        <v>14</v>
      </c>
      <c r="J3">
        <v>0</v>
      </c>
      <c r="K3" t="str">
        <f t="shared" ref="K3:K66" si="0">IF(J3=0, "Not Affected", "Affected")</f>
        <v>Not Affected</v>
      </c>
      <c r="L3" t="str" cm="1">
        <f t="array" ref="L3">_xlfn.IFS(B3&gt;60,"Older Adult(&gt;60)",B3&gt;35,"Middle-aged Adult(36-60)",B3&gt;18,"Young Adult(19-35)",B3&gt;12,"Adolescent(13-18)",B3&gt;0,"Child(&lt;13)")</f>
        <v>Adolescent(13-18)</v>
      </c>
    </row>
    <row r="4" spans="1:12">
      <c r="A4" t="s">
        <v>10</v>
      </c>
      <c r="B4">
        <v>29</v>
      </c>
      <c r="C4">
        <v>0</v>
      </c>
      <c r="D4">
        <v>0</v>
      </c>
      <c r="E4">
        <v>0</v>
      </c>
      <c r="F4" t="s">
        <v>18</v>
      </c>
      <c r="G4" t="s">
        <v>12</v>
      </c>
      <c r="H4" t="s">
        <v>19</v>
      </c>
      <c r="I4" t="s">
        <v>14</v>
      </c>
      <c r="J4">
        <v>0</v>
      </c>
      <c r="K4" t="str">
        <f t="shared" si="0"/>
        <v>Not Affected</v>
      </c>
      <c r="L4" t="str" cm="1">
        <f t="array" ref="L4">_xlfn.IFS(B4&gt;60,"Older Adult(&gt;60)",B4&gt;35,"Middle-aged Adult(36-60)",B4&gt;18,"Young Adult(19-35)",B4&gt;12,"Adolescent(13-18)",B4&gt;0,"Child(&lt;13)")</f>
        <v>Young Adult(19-35)</v>
      </c>
    </row>
    <row r="5" spans="1:12">
      <c r="A5" t="s">
        <v>10</v>
      </c>
      <c r="B5">
        <v>63</v>
      </c>
      <c r="C5">
        <v>1</v>
      </c>
      <c r="D5">
        <v>1</v>
      </c>
      <c r="E5">
        <v>0</v>
      </c>
      <c r="F5" t="s">
        <v>20</v>
      </c>
      <c r="G5" t="s">
        <v>17</v>
      </c>
      <c r="H5" t="s">
        <v>19</v>
      </c>
      <c r="I5" t="s">
        <v>14</v>
      </c>
      <c r="J5">
        <v>1</v>
      </c>
      <c r="K5" t="str">
        <f t="shared" si="0"/>
        <v>Affected</v>
      </c>
      <c r="L5" t="str" cm="1">
        <f t="array" ref="L5">_xlfn.IFS(B5&gt;60,"Older Adult(&gt;60)",B5&gt;35,"Middle-aged Adult(36-60)",B5&gt;18,"Young Adult(19-35)",B5&gt;12,"Adolescent(13-18)",B5&gt;0,"Child(&lt;13)")</f>
        <v>Older Adult(&gt;60)</v>
      </c>
    </row>
    <row r="6" spans="1:12">
      <c r="A6" t="s">
        <v>15</v>
      </c>
      <c r="B6">
        <v>22</v>
      </c>
      <c r="C6">
        <v>0</v>
      </c>
      <c r="D6">
        <v>0</v>
      </c>
      <c r="E6">
        <v>0</v>
      </c>
      <c r="F6" t="s">
        <v>21</v>
      </c>
      <c r="G6" t="s">
        <v>12</v>
      </c>
      <c r="H6" t="s">
        <v>13</v>
      </c>
      <c r="I6" t="s">
        <v>14</v>
      </c>
      <c r="J6">
        <v>0</v>
      </c>
      <c r="K6" t="str">
        <f t="shared" si="0"/>
        <v>Not Affected</v>
      </c>
      <c r="L6" t="str" cm="1">
        <f t="array" ref="L6">_xlfn.IFS(B6&gt;60,"Older Adult(&gt;60)",B6&gt;35,"Middle-aged Adult(36-60)",B6&gt;18,"Young Adult(19-35)",B6&gt;12,"Adolescent(13-18)",B6&gt;0,"Child(&lt;13)")</f>
        <v>Young Adult(19-35)</v>
      </c>
    </row>
    <row r="7" spans="1:12">
      <c r="A7" t="s">
        <v>10</v>
      </c>
      <c r="B7">
        <v>36</v>
      </c>
      <c r="C7">
        <v>0</v>
      </c>
      <c r="D7">
        <v>0</v>
      </c>
      <c r="E7">
        <v>1</v>
      </c>
      <c r="F7" t="s">
        <v>22</v>
      </c>
      <c r="G7" t="s">
        <v>17</v>
      </c>
      <c r="H7" t="s">
        <v>19</v>
      </c>
      <c r="I7" t="s">
        <v>14</v>
      </c>
      <c r="J7">
        <v>0</v>
      </c>
      <c r="K7" t="str">
        <f t="shared" si="0"/>
        <v>Not Affected</v>
      </c>
      <c r="L7" t="str" cm="1">
        <f t="array" ref="L7">_xlfn.IFS(B7&gt;60,"Older Adult(&gt;60)",B7&gt;35,"Middle-aged Adult(36-60)",B7&gt;18,"Young Adult(19-35)",B7&gt;12,"Adolescent(13-18)",B7&gt;0,"Child(&lt;13)")</f>
        <v>Middle-aged Adult(36-60)</v>
      </c>
    </row>
    <row r="8" spans="1:12">
      <c r="A8" t="s">
        <v>10</v>
      </c>
      <c r="B8">
        <v>15</v>
      </c>
      <c r="C8">
        <v>0</v>
      </c>
      <c r="D8">
        <v>0</v>
      </c>
      <c r="E8">
        <v>1</v>
      </c>
      <c r="F8" t="s">
        <v>23</v>
      </c>
      <c r="G8" t="s">
        <v>12</v>
      </c>
      <c r="H8" t="s">
        <v>13</v>
      </c>
      <c r="I8" t="s">
        <v>14</v>
      </c>
      <c r="J8">
        <v>0</v>
      </c>
      <c r="K8" t="str">
        <f t="shared" si="0"/>
        <v>Not Affected</v>
      </c>
      <c r="L8" t="str" cm="1">
        <f t="array" ref="L8">_xlfn.IFS(B8&gt;60,"Older Adult(&gt;60)",B8&gt;35,"Middle-aged Adult(36-60)",B8&gt;18,"Young Adult(19-35)",B8&gt;12,"Adolescent(13-18)",B8&gt;0,"Child(&lt;13)")</f>
        <v>Adolescent(13-18)</v>
      </c>
    </row>
    <row r="9" spans="1:12">
      <c r="A9" t="s">
        <v>15</v>
      </c>
      <c r="B9">
        <v>26</v>
      </c>
      <c r="C9">
        <v>0</v>
      </c>
      <c r="D9">
        <v>0</v>
      </c>
      <c r="E9">
        <v>0</v>
      </c>
      <c r="F9" t="s">
        <v>23</v>
      </c>
      <c r="G9" t="s">
        <v>17</v>
      </c>
      <c r="H9" t="s">
        <v>19</v>
      </c>
      <c r="I9" t="s">
        <v>14</v>
      </c>
      <c r="J9">
        <v>0</v>
      </c>
      <c r="K9" t="str">
        <f t="shared" si="0"/>
        <v>Not Affected</v>
      </c>
      <c r="L9" t="str" cm="1">
        <f t="array" ref="L9">_xlfn.IFS(B9&gt;60,"Older Adult(&gt;60)",B9&gt;35,"Middle-aged Adult(36-60)",B9&gt;18,"Young Adult(19-35)",B9&gt;12,"Adolescent(13-18)",B9&gt;0,"Child(&lt;13)")</f>
        <v>Young Adult(19-35)</v>
      </c>
    </row>
    <row r="10" spans="1:12">
      <c r="A10" t="s">
        <v>10</v>
      </c>
      <c r="B10">
        <v>31</v>
      </c>
      <c r="C10">
        <v>0</v>
      </c>
      <c r="D10">
        <v>0</v>
      </c>
      <c r="E10">
        <v>1</v>
      </c>
      <c r="F10" t="s">
        <v>22</v>
      </c>
      <c r="G10" t="s">
        <v>12</v>
      </c>
      <c r="H10" t="s">
        <v>24</v>
      </c>
      <c r="I10" t="s">
        <v>14</v>
      </c>
      <c r="J10">
        <v>0</v>
      </c>
      <c r="K10" t="str">
        <f t="shared" si="0"/>
        <v>Not Affected</v>
      </c>
      <c r="L10" t="str" cm="1">
        <f t="array" ref="L10">_xlfn.IFS(B10&gt;60,"Older Adult(&gt;60)",B10&gt;35,"Middle-aged Adult(36-60)",B10&gt;18,"Young Adult(19-35)",B10&gt;12,"Adolescent(13-18)",B10&gt;0,"Child(&lt;13)")</f>
        <v>Young Adult(19-35)</v>
      </c>
    </row>
    <row r="11" spans="1:12">
      <c r="A11" t="s">
        <v>10</v>
      </c>
      <c r="B11">
        <v>10</v>
      </c>
      <c r="C11">
        <v>0</v>
      </c>
      <c r="D11">
        <v>0</v>
      </c>
      <c r="E11">
        <v>1</v>
      </c>
      <c r="F11" t="s">
        <v>25</v>
      </c>
      <c r="G11" t="s">
        <v>17</v>
      </c>
      <c r="H11" t="s">
        <v>24</v>
      </c>
      <c r="I11" t="s">
        <v>14</v>
      </c>
      <c r="J11">
        <v>0</v>
      </c>
      <c r="K11" t="str">
        <f t="shared" si="0"/>
        <v>Not Affected</v>
      </c>
      <c r="L11" t="str" cm="1">
        <f t="array" ref="L11">_xlfn.IFS(B11&gt;60,"Older Adult(&gt;60)",B11&gt;35,"Middle-aged Adult(36-60)",B11&gt;18,"Young Adult(19-35)",B11&gt;12,"Adolescent(13-18)",B11&gt;0,"Child(&lt;13)")</f>
        <v>Child(&lt;13)</v>
      </c>
    </row>
    <row r="12" spans="1:12">
      <c r="A12" t="s">
        <v>10</v>
      </c>
      <c r="B12">
        <v>31</v>
      </c>
      <c r="C12">
        <v>1</v>
      </c>
      <c r="D12">
        <v>1</v>
      </c>
      <c r="E12">
        <v>0</v>
      </c>
      <c r="F12" t="s">
        <v>26</v>
      </c>
      <c r="G12" t="s">
        <v>12</v>
      </c>
      <c r="H12" t="s">
        <v>13</v>
      </c>
      <c r="I12" t="s">
        <v>14</v>
      </c>
      <c r="J12">
        <v>1</v>
      </c>
      <c r="K12" t="str">
        <f t="shared" si="0"/>
        <v>Affected</v>
      </c>
      <c r="L12" t="str" cm="1">
        <f t="array" ref="L12">_xlfn.IFS(B12&gt;60,"Older Adult(&gt;60)",B12&gt;35,"Middle-aged Adult(36-60)",B12&gt;18,"Young Adult(19-35)",B12&gt;12,"Adolescent(13-18)",B12&gt;0,"Child(&lt;13)")</f>
        <v>Young Adult(19-35)</v>
      </c>
    </row>
    <row r="13" spans="1:12">
      <c r="A13" t="s">
        <v>15</v>
      </c>
      <c r="B13">
        <v>10</v>
      </c>
      <c r="C13">
        <v>0</v>
      </c>
      <c r="D13">
        <v>0</v>
      </c>
      <c r="E13">
        <v>0</v>
      </c>
      <c r="F13" t="s">
        <v>22</v>
      </c>
      <c r="G13" t="s">
        <v>17</v>
      </c>
      <c r="H13" t="s">
        <v>24</v>
      </c>
      <c r="I13" t="s">
        <v>14</v>
      </c>
      <c r="J13">
        <v>0</v>
      </c>
      <c r="K13" t="str">
        <f t="shared" si="0"/>
        <v>Not Affected</v>
      </c>
      <c r="L13" t="str" cm="1">
        <f t="array" ref="L13">_xlfn.IFS(B13&gt;60,"Older Adult(&gt;60)",B13&gt;35,"Middle-aged Adult(36-60)",B13&gt;18,"Young Adult(19-35)",B13&gt;12,"Adolescent(13-18)",B13&gt;0,"Child(&lt;13)")</f>
        <v>Child(&lt;13)</v>
      </c>
    </row>
    <row r="14" spans="1:12">
      <c r="A14" t="s">
        <v>10</v>
      </c>
      <c r="B14">
        <v>13</v>
      </c>
      <c r="C14">
        <v>1</v>
      </c>
      <c r="D14">
        <v>1</v>
      </c>
      <c r="E14">
        <v>0</v>
      </c>
      <c r="F14" t="s">
        <v>27</v>
      </c>
      <c r="G14" t="s">
        <v>12</v>
      </c>
      <c r="H14" t="s">
        <v>13</v>
      </c>
      <c r="I14" t="s">
        <v>14</v>
      </c>
      <c r="J14">
        <v>1</v>
      </c>
      <c r="K14" t="str">
        <f t="shared" si="0"/>
        <v>Affected</v>
      </c>
      <c r="L14" t="str" cm="1">
        <f t="array" ref="L14">_xlfn.IFS(B14&gt;60,"Older Adult(&gt;60)",B14&gt;35,"Middle-aged Adult(36-60)",B14&gt;18,"Young Adult(19-35)",B14&gt;12,"Adolescent(13-18)",B14&gt;0,"Child(&lt;13)")</f>
        <v>Adolescent(13-18)</v>
      </c>
    </row>
    <row r="15" spans="1:12">
      <c r="A15" t="s">
        <v>10</v>
      </c>
      <c r="B15">
        <v>43</v>
      </c>
      <c r="C15">
        <v>1</v>
      </c>
      <c r="D15">
        <v>1</v>
      </c>
      <c r="E15">
        <v>0</v>
      </c>
      <c r="F15" t="s">
        <v>28</v>
      </c>
      <c r="G15" t="s">
        <v>17</v>
      </c>
      <c r="H15" t="s">
        <v>13</v>
      </c>
      <c r="I15" t="s">
        <v>14</v>
      </c>
      <c r="J15">
        <v>1</v>
      </c>
      <c r="K15" t="str">
        <f t="shared" si="0"/>
        <v>Affected</v>
      </c>
      <c r="L15" t="str" cm="1">
        <f t="array" ref="L15">_xlfn.IFS(B15&gt;60,"Older Adult(&gt;60)",B15&gt;35,"Middle-aged Adult(36-60)",B15&gt;18,"Young Adult(19-35)",B15&gt;12,"Adolescent(13-18)",B15&gt;0,"Child(&lt;13)")</f>
        <v>Middle-aged Adult(36-60)</v>
      </c>
    </row>
    <row r="16" spans="1:12">
      <c r="A16" t="s">
        <v>15</v>
      </c>
      <c r="B16">
        <v>52</v>
      </c>
      <c r="C16">
        <v>0</v>
      </c>
      <c r="D16">
        <v>0</v>
      </c>
      <c r="E16">
        <v>0</v>
      </c>
      <c r="F16" t="s">
        <v>29</v>
      </c>
      <c r="G16" t="s">
        <v>12</v>
      </c>
      <c r="H16" t="s">
        <v>19</v>
      </c>
      <c r="I16" t="s">
        <v>14</v>
      </c>
      <c r="J16">
        <v>0</v>
      </c>
      <c r="K16" t="str">
        <f t="shared" si="0"/>
        <v>Not Affected</v>
      </c>
      <c r="L16" t="str" cm="1">
        <f t="array" ref="L16">_xlfn.IFS(B16&gt;60,"Older Adult(&gt;60)",B16&gt;35,"Middle-aged Adult(36-60)",B16&gt;18,"Young Adult(19-35)",B16&gt;12,"Adolescent(13-18)",B16&gt;0,"Child(&lt;13)")</f>
        <v>Middle-aged Adult(36-60)</v>
      </c>
    </row>
    <row r="17" spans="1:12">
      <c r="A17" t="s">
        <v>10</v>
      </c>
      <c r="B17">
        <v>12</v>
      </c>
      <c r="C17">
        <v>1</v>
      </c>
      <c r="D17">
        <v>1</v>
      </c>
      <c r="E17">
        <v>1</v>
      </c>
      <c r="F17" t="s">
        <v>30</v>
      </c>
      <c r="G17" t="s">
        <v>17</v>
      </c>
      <c r="H17" t="s">
        <v>24</v>
      </c>
      <c r="I17" t="s">
        <v>14</v>
      </c>
      <c r="J17">
        <v>1</v>
      </c>
      <c r="K17" t="str">
        <f t="shared" si="0"/>
        <v>Affected</v>
      </c>
      <c r="L17" t="str" cm="1">
        <f t="array" ref="L17">_xlfn.IFS(B17&gt;60,"Older Adult(&gt;60)",B17&gt;35,"Middle-aged Adult(36-60)",B17&gt;18,"Young Adult(19-35)",B17&gt;12,"Adolescent(13-18)",B17&gt;0,"Child(&lt;13)")</f>
        <v>Child(&lt;13)</v>
      </c>
    </row>
    <row r="18" spans="1:12">
      <c r="A18" t="s">
        <v>15</v>
      </c>
      <c r="B18">
        <v>18</v>
      </c>
      <c r="C18">
        <v>0</v>
      </c>
      <c r="D18">
        <v>0</v>
      </c>
      <c r="E18">
        <v>1</v>
      </c>
      <c r="F18" t="s">
        <v>31</v>
      </c>
      <c r="G18" t="s">
        <v>12</v>
      </c>
      <c r="H18" t="s">
        <v>24</v>
      </c>
      <c r="I18" t="s">
        <v>14</v>
      </c>
      <c r="J18">
        <v>0</v>
      </c>
      <c r="K18" t="str">
        <f t="shared" si="0"/>
        <v>Not Affected</v>
      </c>
      <c r="L18" t="str" cm="1">
        <f t="array" ref="L18">_xlfn.IFS(B18&gt;60,"Older Adult(&gt;60)",B18&gt;35,"Middle-aged Adult(36-60)",B18&gt;18,"Young Adult(19-35)",B18&gt;12,"Adolescent(13-18)",B18&gt;0,"Child(&lt;13)")</f>
        <v>Adolescent(13-18)</v>
      </c>
    </row>
    <row r="19" spans="1:12">
      <c r="A19" t="s">
        <v>15</v>
      </c>
      <c r="B19">
        <v>56</v>
      </c>
      <c r="C19">
        <v>0</v>
      </c>
      <c r="D19">
        <v>0</v>
      </c>
      <c r="E19">
        <v>1</v>
      </c>
      <c r="F19" t="s">
        <v>32</v>
      </c>
      <c r="G19" t="s">
        <v>17</v>
      </c>
      <c r="H19" t="s">
        <v>13</v>
      </c>
      <c r="I19" t="s">
        <v>14</v>
      </c>
      <c r="J19">
        <v>0</v>
      </c>
      <c r="K19" t="str">
        <f t="shared" si="0"/>
        <v>Not Affected</v>
      </c>
      <c r="L19" t="str" cm="1">
        <f t="array" ref="L19">_xlfn.IFS(B19&gt;60,"Older Adult(&gt;60)",B19&gt;35,"Middle-aged Adult(36-60)",B19&gt;18,"Young Adult(19-35)",B19&gt;12,"Adolescent(13-18)",B19&gt;0,"Child(&lt;13)")</f>
        <v>Middle-aged Adult(36-60)</v>
      </c>
    </row>
    <row r="20" spans="1:12">
      <c r="A20" t="s">
        <v>15</v>
      </c>
      <c r="B20">
        <v>9</v>
      </c>
      <c r="C20">
        <v>1</v>
      </c>
      <c r="D20">
        <v>1</v>
      </c>
      <c r="E20">
        <v>1</v>
      </c>
      <c r="F20" t="s">
        <v>11</v>
      </c>
      <c r="G20" t="s">
        <v>12</v>
      </c>
      <c r="H20" t="s">
        <v>24</v>
      </c>
      <c r="I20" t="s">
        <v>14</v>
      </c>
      <c r="J20">
        <v>1</v>
      </c>
      <c r="K20" t="str">
        <f t="shared" si="0"/>
        <v>Affected</v>
      </c>
      <c r="L20" t="str" cm="1">
        <f t="array" ref="L20">_xlfn.IFS(B20&gt;60,"Older Adult(&gt;60)",B20&gt;35,"Middle-aged Adult(36-60)",B20&gt;18,"Young Adult(19-35)",B20&gt;12,"Adolescent(13-18)",B20&gt;0,"Child(&lt;13)")</f>
        <v>Child(&lt;13)</v>
      </c>
    </row>
    <row r="21" spans="1:12">
      <c r="A21" t="s">
        <v>15</v>
      </c>
      <c r="B21">
        <v>27</v>
      </c>
      <c r="C21">
        <v>1</v>
      </c>
      <c r="D21">
        <v>1</v>
      </c>
      <c r="E21">
        <v>0</v>
      </c>
      <c r="F21" t="s">
        <v>11</v>
      </c>
      <c r="G21" t="s">
        <v>17</v>
      </c>
      <c r="H21" t="s">
        <v>24</v>
      </c>
      <c r="I21" t="s">
        <v>14</v>
      </c>
      <c r="J21">
        <v>1</v>
      </c>
      <c r="K21" t="str">
        <f t="shared" si="0"/>
        <v>Affected</v>
      </c>
      <c r="L21" t="str" cm="1">
        <f t="array" ref="L21">_xlfn.IFS(B21&gt;60,"Older Adult(&gt;60)",B21&gt;35,"Middle-aged Adult(36-60)",B21&gt;18,"Young Adult(19-35)",B21&gt;12,"Adolescent(13-18)",B21&gt;0,"Child(&lt;13)")</f>
        <v>Young Adult(19-35)</v>
      </c>
    </row>
    <row r="22" spans="1:12">
      <c r="A22" t="s">
        <v>10</v>
      </c>
      <c r="B22">
        <v>31</v>
      </c>
      <c r="C22">
        <v>0</v>
      </c>
      <c r="D22">
        <v>1</v>
      </c>
      <c r="E22">
        <v>0</v>
      </c>
      <c r="F22" t="s">
        <v>33</v>
      </c>
      <c r="G22" t="s">
        <v>12</v>
      </c>
      <c r="H22" t="s">
        <v>24</v>
      </c>
      <c r="I22" t="s">
        <v>14</v>
      </c>
      <c r="J22">
        <v>1</v>
      </c>
      <c r="K22" t="str">
        <f t="shared" si="0"/>
        <v>Affected</v>
      </c>
      <c r="L22" t="str" cm="1">
        <f t="array" ref="L22">_xlfn.IFS(B22&gt;60,"Older Adult(&gt;60)",B22&gt;35,"Middle-aged Adult(36-60)",B22&gt;18,"Young Adult(19-35)",B22&gt;12,"Adolescent(13-18)",B22&gt;0,"Child(&lt;13)")</f>
        <v>Young Adult(19-35)</v>
      </c>
    </row>
    <row r="23" spans="1:12">
      <c r="A23" t="s">
        <v>10</v>
      </c>
      <c r="B23">
        <v>23</v>
      </c>
      <c r="C23">
        <v>0</v>
      </c>
      <c r="D23">
        <v>0</v>
      </c>
      <c r="E23">
        <v>0</v>
      </c>
      <c r="F23" t="s">
        <v>34</v>
      </c>
      <c r="G23" t="s">
        <v>17</v>
      </c>
      <c r="H23" t="s">
        <v>19</v>
      </c>
      <c r="I23" t="s">
        <v>14</v>
      </c>
      <c r="J23">
        <v>0</v>
      </c>
      <c r="K23" t="str">
        <f t="shared" si="0"/>
        <v>Not Affected</v>
      </c>
      <c r="L23" t="str" cm="1">
        <f t="array" ref="L23">_xlfn.IFS(B23&gt;60,"Older Adult(&gt;60)",B23&gt;35,"Middle-aged Adult(36-60)",B23&gt;18,"Young Adult(19-35)",B23&gt;12,"Adolescent(13-18)",B23&gt;0,"Child(&lt;13)")</f>
        <v>Young Adult(19-35)</v>
      </c>
    </row>
    <row r="24" spans="1:12">
      <c r="A24" t="s">
        <v>10</v>
      </c>
      <c r="B24">
        <v>37</v>
      </c>
      <c r="C24">
        <v>0</v>
      </c>
      <c r="D24">
        <v>0</v>
      </c>
      <c r="E24">
        <v>1</v>
      </c>
      <c r="F24" t="s">
        <v>35</v>
      </c>
      <c r="G24" t="s">
        <v>12</v>
      </c>
      <c r="H24" t="s">
        <v>24</v>
      </c>
      <c r="I24" t="s">
        <v>14</v>
      </c>
      <c r="J24">
        <v>0</v>
      </c>
      <c r="K24" t="str">
        <f t="shared" si="0"/>
        <v>Not Affected</v>
      </c>
      <c r="L24" t="str" cm="1">
        <f t="array" ref="L24">_xlfn.IFS(B24&gt;60,"Older Adult(&gt;60)",B24&gt;35,"Middle-aged Adult(36-60)",B24&gt;18,"Young Adult(19-35)",B24&gt;12,"Adolescent(13-18)",B24&gt;0,"Child(&lt;13)")</f>
        <v>Middle-aged Adult(36-60)</v>
      </c>
    </row>
    <row r="25" spans="1:12">
      <c r="A25" t="s">
        <v>15</v>
      </c>
      <c r="B25">
        <v>44</v>
      </c>
      <c r="C25">
        <v>0</v>
      </c>
      <c r="D25">
        <v>0</v>
      </c>
      <c r="E25">
        <v>1</v>
      </c>
      <c r="F25" t="s">
        <v>36</v>
      </c>
      <c r="G25" t="s">
        <v>17</v>
      </c>
      <c r="H25" t="s">
        <v>19</v>
      </c>
      <c r="I25" t="s">
        <v>14</v>
      </c>
      <c r="J25">
        <v>0</v>
      </c>
      <c r="K25" t="str">
        <f t="shared" si="0"/>
        <v>Not Affected</v>
      </c>
      <c r="L25" t="str" cm="1">
        <f t="array" ref="L25">_xlfn.IFS(B25&gt;60,"Older Adult(&gt;60)",B25&gt;35,"Middle-aged Adult(36-60)",B25&gt;18,"Young Adult(19-35)",B25&gt;12,"Adolescent(13-18)",B25&gt;0,"Child(&lt;13)")</f>
        <v>Middle-aged Adult(36-60)</v>
      </c>
    </row>
    <row r="26" spans="1:12">
      <c r="A26" t="s">
        <v>10</v>
      </c>
      <c r="B26">
        <v>17</v>
      </c>
      <c r="C26">
        <v>1</v>
      </c>
      <c r="D26">
        <v>1</v>
      </c>
      <c r="E26">
        <v>0</v>
      </c>
      <c r="F26" t="s">
        <v>27</v>
      </c>
      <c r="G26" t="s">
        <v>12</v>
      </c>
      <c r="H26" t="s">
        <v>13</v>
      </c>
      <c r="I26" t="s">
        <v>14</v>
      </c>
      <c r="J26">
        <v>1</v>
      </c>
      <c r="K26" t="str">
        <f t="shared" si="0"/>
        <v>Affected</v>
      </c>
      <c r="L26" t="str" cm="1">
        <f t="array" ref="L26">_xlfn.IFS(B26&gt;60,"Older Adult(&gt;60)",B26&gt;35,"Middle-aged Adult(36-60)",B26&gt;18,"Young Adult(19-35)",B26&gt;12,"Adolescent(13-18)",B26&gt;0,"Child(&lt;13)")</f>
        <v>Adolescent(13-18)</v>
      </c>
    </row>
    <row r="27" spans="1:12">
      <c r="A27" t="s">
        <v>10</v>
      </c>
      <c r="B27">
        <v>64</v>
      </c>
      <c r="C27">
        <v>1</v>
      </c>
      <c r="D27">
        <v>1</v>
      </c>
      <c r="E27">
        <v>1</v>
      </c>
      <c r="F27" t="s">
        <v>33</v>
      </c>
      <c r="G27" t="s">
        <v>17</v>
      </c>
      <c r="H27" t="s">
        <v>19</v>
      </c>
      <c r="I27" t="s">
        <v>14</v>
      </c>
      <c r="J27">
        <v>1</v>
      </c>
      <c r="K27" t="str">
        <f t="shared" si="0"/>
        <v>Affected</v>
      </c>
      <c r="L27" t="str" cm="1">
        <f t="array" ref="L27">_xlfn.IFS(B27&gt;60,"Older Adult(&gt;60)",B27&gt;35,"Middle-aged Adult(36-60)",B27&gt;18,"Young Adult(19-35)",B27&gt;12,"Adolescent(13-18)",B27&gt;0,"Child(&lt;13)")</f>
        <v>Older Adult(&gt;60)</v>
      </c>
    </row>
    <row r="28" spans="1:12">
      <c r="A28" t="s">
        <v>10</v>
      </c>
      <c r="B28">
        <v>65</v>
      </c>
      <c r="C28">
        <v>0</v>
      </c>
      <c r="D28">
        <v>0</v>
      </c>
      <c r="E28">
        <v>0</v>
      </c>
      <c r="F28" t="s">
        <v>21</v>
      </c>
      <c r="G28" t="s">
        <v>12</v>
      </c>
      <c r="H28" t="s">
        <v>24</v>
      </c>
      <c r="I28" t="s">
        <v>14</v>
      </c>
      <c r="J28">
        <v>0</v>
      </c>
      <c r="K28" t="str">
        <f t="shared" si="0"/>
        <v>Not Affected</v>
      </c>
      <c r="L28" t="str" cm="1">
        <f t="array" ref="L28">_xlfn.IFS(B28&gt;60,"Older Adult(&gt;60)",B28&gt;35,"Middle-aged Adult(36-60)",B28&gt;18,"Young Adult(19-35)",B28&gt;12,"Adolescent(13-18)",B28&gt;0,"Child(&lt;13)")</f>
        <v>Older Adult(&gt;60)</v>
      </c>
    </row>
    <row r="29" spans="1:12">
      <c r="A29" t="s">
        <v>10</v>
      </c>
      <c r="B29">
        <v>60</v>
      </c>
      <c r="C29">
        <v>0</v>
      </c>
      <c r="D29">
        <v>0</v>
      </c>
      <c r="E29">
        <v>0</v>
      </c>
      <c r="F29" t="s">
        <v>27</v>
      </c>
      <c r="G29" t="s">
        <v>17</v>
      </c>
      <c r="H29" t="s">
        <v>19</v>
      </c>
      <c r="I29" t="s">
        <v>14</v>
      </c>
      <c r="J29">
        <v>0</v>
      </c>
      <c r="K29" t="str">
        <f t="shared" si="0"/>
        <v>Not Affected</v>
      </c>
      <c r="L29" t="str" cm="1">
        <f t="array" ref="L29">_xlfn.IFS(B29&gt;60,"Older Adult(&gt;60)",B29&gt;35,"Middle-aged Adult(36-60)",B29&gt;18,"Young Adult(19-35)",B29&gt;12,"Adolescent(13-18)",B29&gt;0,"Child(&lt;13)")</f>
        <v>Middle-aged Adult(36-60)</v>
      </c>
    </row>
    <row r="30" spans="1:12">
      <c r="A30" t="s">
        <v>10</v>
      </c>
      <c r="B30">
        <v>44</v>
      </c>
      <c r="C30">
        <v>1</v>
      </c>
      <c r="D30">
        <v>1</v>
      </c>
      <c r="E30">
        <v>1</v>
      </c>
      <c r="F30" t="s">
        <v>26</v>
      </c>
      <c r="G30" t="s">
        <v>12</v>
      </c>
      <c r="H30" t="s">
        <v>24</v>
      </c>
      <c r="I30" t="s">
        <v>14</v>
      </c>
      <c r="J30">
        <v>1</v>
      </c>
      <c r="K30" t="str">
        <f t="shared" si="0"/>
        <v>Affected</v>
      </c>
      <c r="L30" t="str" cm="1">
        <f t="array" ref="L30">_xlfn.IFS(B30&gt;60,"Older Adult(&gt;60)",B30&gt;35,"Middle-aged Adult(36-60)",B30&gt;18,"Young Adult(19-35)",B30&gt;12,"Adolescent(13-18)",B30&gt;0,"Child(&lt;13)")</f>
        <v>Middle-aged Adult(36-60)</v>
      </c>
    </row>
    <row r="31" spans="1:12">
      <c r="A31" t="s">
        <v>10</v>
      </c>
      <c r="B31">
        <v>13</v>
      </c>
      <c r="C31">
        <v>0</v>
      </c>
      <c r="D31">
        <v>1</v>
      </c>
      <c r="E31">
        <v>0</v>
      </c>
      <c r="F31" t="s">
        <v>28</v>
      </c>
      <c r="G31" t="s">
        <v>17</v>
      </c>
      <c r="H31" t="s">
        <v>13</v>
      </c>
      <c r="I31" t="s">
        <v>14</v>
      </c>
      <c r="J31">
        <v>1</v>
      </c>
      <c r="K31" t="str">
        <f t="shared" si="0"/>
        <v>Affected</v>
      </c>
      <c r="L31" t="str" cm="1">
        <f t="array" ref="L31">_xlfn.IFS(B31&gt;60,"Older Adult(&gt;60)",B31&gt;35,"Middle-aged Adult(36-60)",B31&gt;18,"Young Adult(19-35)",B31&gt;12,"Adolescent(13-18)",B31&gt;0,"Child(&lt;13)")</f>
        <v>Adolescent(13-18)</v>
      </c>
    </row>
    <row r="32" spans="1:12">
      <c r="A32" t="s">
        <v>10</v>
      </c>
      <c r="B32">
        <v>35</v>
      </c>
      <c r="C32">
        <v>0</v>
      </c>
      <c r="D32">
        <v>0</v>
      </c>
      <c r="E32">
        <v>0</v>
      </c>
      <c r="F32" t="s">
        <v>37</v>
      </c>
      <c r="G32" t="s">
        <v>12</v>
      </c>
      <c r="H32" t="s">
        <v>13</v>
      </c>
      <c r="I32" t="s">
        <v>14</v>
      </c>
      <c r="J32">
        <v>0</v>
      </c>
      <c r="K32" t="str">
        <f t="shared" si="0"/>
        <v>Not Affected</v>
      </c>
      <c r="L32" t="str" cm="1">
        <f t="array" ref="L32">_xlfn.IFS(B32&gt;60,"Older Adult(&gt;60)",B32&gt;35,"Middle-aged Adult(36-60)",B32&gt;18,"Young Adult(19-35)",B32&gt;12,"Adolescent(13-18)",B32&gt;0,"Child(&lt;13)")</f>
        <v>Young Adult(19-35)</v>
      </c>
    </row>
    <row r="33" spans="1:12">
      <c r="A33" t="s">
        <v>15</v>
      </c>
      <c r="B33">
        <v>13</v>
      </c>
      <c r="C33">
        <v>1</v>
      </c>
      <c r="D33">
        <v>1</v>
      </c>
      <c r="E33">
        <v>1</v>
      </c>
      <c r="F33" t="s">
        <v>33</v>
      </c>
      <c r="G33" t="s">
        <v>17</v>
      </c>
      <c r="H33" t="s">
        <v>24</v>
      </c>
      <c r="I33" t="s">
        <v>14</v>
      </c>
      <c r="J33">
        <v>1</v>
      </c>
      <c r="K33" t="str">
        <f t="shared" si="0"/>
        <v>Affected</v>
      </c>
      <c r="L33" t="str" cm="1">
        <f t="array" ref="L33">_xlfn.IFS(B33&gt;60,"Older Adult(&gt;60)",B33&gt;35,"Middle-aged Adult(36-60)",B33&gt;18,"Young Adult(19-35)",B33&gt;12,"Adolescent(13-18)",B33&gt;0,"Child(&lt;13)")</f>
        <v>Adolescent(13-18)</v>
      </c>
    </row>
    <row r="34" spans="1:12">
      <c r="A34" t="s">
        <v>10</v>
      </c>
      <c r="B34">
        <v>39</v>
      </c>
      <c r="C34">
        <v>0</v>
      </c>
      <c r="D34">
        <v>0</v>
      </c>
      <c r="E34">
        <v>1</v>
      </c>
      <c r="F34" t="s">
        <v>38</v>
      </c>
      <c r="G34" t="s">
        <v>12</v>
      </c>
      <c r="H34" t="s">
        <v>13</v>
      </c>
      <c r="I34" t="s">
        <v>14</v>
      </c>
      <c r="J34">
        <v>0</v>
      </c>
      <c r="K34" t="str">
        <f t="shared" si="0"/>
        <v>Not Affected</v>
      </c>
      <c r="L34" t="str" cm="1">
        <f t="array" ref="L34">_xlfn.IFS(B34&gt;60,"Older Adult(&gt;60)",B34&gt;35,"Middle-aged Adult(36-60)",B34&gt;18,"Young Adult(19-35)",B34&gt;12,"Adolescent(13-18)",B34&gt;0,"Child(&lt;13)")</f>
        <v>Middle-aged Adult(36-60)</v>
      </c>
    </row>
    <row r="35" spans="1:12">
      <c r="A35" t="s">
        <v>10</v>
      </c>
      <c r="B35">
        <v>27</v>
      </c>
      <c r="C35">
        <v>0</v>
      </c>
      <c r="D35">
        <v>0</v>
      </c>
      <c r="E35">
        <v>1</v>
      </c>
      <c r="F35" t="s">
        <v>39</v>
      </c>
      <c r="G35" t="s">
        <v>17</v>
      </c>
      <c r="H35" t="s">
        <v>19</v>
      </c>
      <c r="I35" t="s">
        <v>14</v>
      </c>
      <c r="J35">
        <v>0</v>
      </c>
      <c r="K35" t="str">
        <f t="shared" si="0"/>
        <v>Not Affected</v>
      </c>
      <c r="L35" t="str" cm="1">
        <f t="array" ref="L35">_xlfn.IFS(B35&gt;60,"Older Adult(&gt;60)",B35&gt;35,"Middle-aged Adult(36-60)",B35&gt;18,"Young Adult(19-35)",B35&gt;12,"Adolescent(13-18)",B35&gt;0,"Child(&lt;13)")</f>
        <v>Young Adult(19-35)</v>
      </c>
    </row>
    <row r="36" spans="1:12">
      <c r="A36" t="s">
        <v>15</v>
      </c>
      <c r="B36">
        <v>11</v>
      </c>
      <c r="C36">
        <v>1</v>
      </c>
      <c r="D36">
        <v>1</v>
      </c>
      <c r="E36">
        <v>1</v>
      </c>
      <c r="F36" t="s">
        <v>40</v>
      </c>
      <c r="G36" t="s">
        <v>12</v>
      </c>
      <c r="H36" t="s">
        <v>24</v>
      </c>
      <c r="I36" t="s">
        <v>14</v>
      </c>
      <c r="J36">
        <v>1</v>
      </c>
      <c r="K36" t="str">
        <f t="shared" si="0"/>
        <v>Affected</v>
      </c>
      <c r="L36" t="str" cm="1">
        <f t="array" ref="L36">_xlfn.IFS(B36&gt;60,"Older Adult(&gt;60)",B36&gt;35,"Middle-aged Adult(36-60)",B36&gt;18,"Young Adult(19-35)",B36&gt;12,"Adolescent(13-18)",B36&gt;0,"Child(&lt;13)")</f>
        <v>Child(&lt;13)</v>
      </c>
    </row>
    <row r="37" spans="1:12">
      <c r="A37" t="s">
        <v>10</v>
      </c>
      <c r="B37">
        <v>46</v>
      </c>
      <c r="C37">
        <v>1</v>
      </c>
      <c r="D37">
        <v>1</v>
      </c>
      <c r="E37">
        <v>1</v>
      </c>
      <c r="F37" t="s">
        <v>37</v>
      </c>
      <c r="G37" t="s">
        <v>17</v>
      </c>
      <c r="H37" t="s">
        <v>19</v>
      </c>
      <c r="I37" t="s">
        <v>14</v>
      </c>
      <c r="J37">
        <v>1</v>
      </c>
      <c r="K37" t="str">
        <f t="shared" si="0"/>
        <v>Affected</v>
      </c>
      <c r="L37" t="str" cm="1">
        <f t="array" ref="L37">_xlfn.IFS(B37&gt;60,"Older Adult(&gt;60)",B37&gt;35,"Middle-aged Adult(36-60)",B37&gt;18,"Young Adult(19-35)",B37&gt;12,"Adolescent(13-18)",B37&gt;0,"Child(&lt;13)")</f>
        <v>Middle-aged Adult(36-60)</v>
      </c>
    </row>
    <row r="38" spans="1:12">
      <c r="A38" t="s">
        <v>15</v>
      </c>
      <c r="B38">
        <v>10</v>
      </c>
      <c r="C38">
        <v>1</v>
      </c>
      <c r="D38">
        <v>1</v>
      </c>
      <c r="E38">
        <v>0</v>
      </c>
      <c r="F38" t="s">
        <v>41</v>
      </c>
      <c r="G38" t="s">
        <v>12</v>
      </c>
      <c r="H38" t="s">
        <v>24</v>
      </c>
      <c r="I38" t="s">
        <v>14</v>
      </c>
      <c r="J38">
        <v>1</v>
      </c>
      <c r="K38" t="str">
        <f t="shared" si="0"/>
        <v>Affected</v>
      </c>
      <c r="L38" t="str" cm="1">
        <f t="array" ref="L38">_xlfn.IFS(B38&gt;60,"Older Adult(&gt;60)",B38&gt;35,"Middle-aged Adult(36-60)",B38&gt;18,"Young Adult(19-35)",B38&gt;12,"Adolescent(13-18)",B38&gt;0,"Child(&lt;13)")</f>
        <v>Child(&lt;13)</v>
      </c>
    </row>
    <row r="39" spans="1:12">
      <c r="A39" t="s">
        <v>10</v>
      </c>
      <c r="B39">
        <v>13</v>
      </c>
      <c r="C39">
        <v>0</v>
      </c>
      <c r="D39">
        <v>0</v>
      </c>
      <c r="E39">
        <v>1</v>
      </c>
      <c r="F39" t="s">
        <v>42</v>
      </c>
      <c r="G39" t="s">
        <v>17</v>
      </c>
      <c r="H39" t="s">
        <v>13</v>
      </c>
      <c r="I39" t="s">
        <v>14</v>
      </c>
      <c r="J39">
        <v>0</v>
      </c>
      <c r="K39" t="str">
        <f t="shared" si="0"/>
        <v>Not Affected</v>
      </c>
      <c r="L39" t="str" cm="1">
        <f t="array" ref="L39">_xlfn.IFS(B39&gt;60,"Older Adult(&gt;60)",B39&gt;35,"Middle-aged Adult(36-60)",B39&gt;18,"Young Adult(19-35)",B39&gt;12,"Adolescent(13-18)",B39&gt;0,"Child(&lt;13)")</f>
        <v>Adolescent(13-18)</v>
      </c>
    </row>
    <row r="40" spans="1:12">
      <c r="A40" t="s">
        <v>15</v>
      </c>
      <c r="B40">
        <v>50</v>
      </c>
      <c r="C40">
        <v>0</v>
      </c>
      <c r="D40">
        <v>1</v>
      </c>
      <c r="E40">
        <v>0</v>
      </c>
      <c r="F40" t="s">
        <v>40</v>
      </c>
      <c r="G40" t="s">
        <v>12</v>
      </c>
      <c r="H40" t="s">
        <v>19</v>
      </c>
      <c r="I40" t="s">
        <v>14</v>
      </c>
      <c r="J40">
        <v>1</v>
      </c>
      <c r="K40" t="str">
        <f t="shared" si="0"/>
        <v>Affected</v>
      </c>
      <c r="L40" t="str" cm="1">
        <f t="array" ref="L40">_xlfn.IFS(B40&gt;60,"Older Adult(&gt;60)",B40&gt;35,"Middle-aged Adult(36-60)",B40&gt;18,"Young Adult(19-35)",B40&gt;12,"Adolescent(13-18)",B40&gt;0,"Child(&lt;13)")</f>
        <v>Middle-aged Adult(36-60)</v>
      </c>
    </row>
    <row r="41" spans="1:12">
      <c r="A41" t="s">
        <v>15</v>
      </c>
      <c r="B41">
        <v>34</v>
      </c>
      <c r="C41">
        <v>1</v>
      </c>
      <c r="D41">
        <v>1</v>
      </c>
      <c r="E41">
        <v>0</v>
      </c>
      <c r="F41" t="s">
        <v>11</v>
      </c>
      <c r="G41" t="s">
        <v>17</v>
      </c>
      <c r="H41" t="s">
        <v>19</v>
      </c>
      <c r="I41" t="s">
        <v>14</v>
      </c>
      <c r="J41">
        <v>1</v>
      </c>
      <c r="K41" t="str">
        <f t="shared" si="0"/>
        <v>Affected</v>
      </c>
      <c r="L41" t="str" cm="1">
        <f t="array" ref="L41">_xlfn.IFS(B41&gt;60,"Older Adult(&gt;60)",B41&gt;35,"Middle-aged Adult(36-60)",B41&gt;18,"Young Adult(19-35)",B41&gt;12,"Adolescent(13-18)",B41&gt;0,"Child(&lt;13)")</f>
        <v>Young Adult(19-35)</v>
      </c>
    </row>
    <row r="42" spans="1:12">
      <c r="A42" t="s">
        <v>10</v>
      </c>
      <c r="B42">
        <v>54</v>
      </c>
      <c r="C42">
        <v>0</v>
      </c>
      <c r="D42">
        <v>0</v>
      </c>
      <c r="E42">
        <v>1</v>
      </c>
      <c r="F42" t="s">
        <v>31</v>
      </c>
      <c r="G42" t="s">
        <v>12</v>
      </c>
      <c r="H42" t="s">
        <v>24</v>
      </c>
      <c r="I42" t="s">
        <v>14</v>
      </c>
      <c r="J42">
        <v>0</v>
      </c>
      <c r="K42" t="str">
        <f t="shared" si="0"/>
        <v>Not Affected</v>
      </c>
      <c r="L42" t="str" cm="1">
        <f t="array" ref="L42">_xlfn.IFS(B42&gt;60,"Older Adult(&gt;60)",B42&gt;35,"Middle-aged Adult(36-60)",B42&gt;18,"Young Adult(19-35)",B42&gt;12,"Adolescent(13-18)",B42&gt;0,"Child(&lt;13)")</f>
        <v>Middle-aged Adult(36-60)</v>
      </c>
    </row>
    <row r="43" spans="1:12">
      <c r="A43" t="s">
        <v>10</v>
      </c>
      <c r="B43">
        <v>16</v>
      </c>
      <c r="C43">
        <v>0</v>
      </c>
      <c r="D43">
        <v>0</v>
      </c>
      <c r="E43">
        <v>1</v>
      </c>
      <c r="F43" t="s">
        <v>37</v>
      </c>
      <c r="G43" t="s">
        <v>17</v>
      </c>
      <c r="H43" t="s">
        <v>19</v>
      </c>
      <c r="I43" t="s">
        <v>14</v>
      </c>
      <c r="J43">
        <v>0</v>
      </c>
      <c r="K43" t="str">
        <f t="shared" si="0"/>
        <v>Not Affected</v>
      </c>
      <c r="L43" t="str" cm="1">
        <f t="array" ref="L43">_xlfn.IFS(B43&gt;60,"Older Adult(&gt;60)",B43&gt;35,"Middle-aged Adult(36-60)",B43&gt;18,"Young Adult(19-35)",B43&gt;12,"Adolescent(13-18)",B43&gt;0,"Child(&lt;13)")</f>
        <v>Adolescent(13-18)</v>
      </c>
    </row>
    <row r="44" spans="1:12">
      <c r="A44" t="s">
        <v>15</v>
      </c>
      <c r="B44">
        <v>51</v>
      </c>
      <c r="C44">
        <v>1</v>
      </c>
      <c r="D44">
        <v>1</v>
      </c>
      <c r="E44">
        <v>0</v>
      </c>
      <c r="F44" t="s">
        <v>39</v>
      </c>
      <c r="G44" t="s">
        <v>12</v>
      </c>
      <c r="H44" t="s">
        <v>24</v>
      </c>
      <c r="I44" t="s">
        <v>14</v>
      </c>
      <c r="J44">
        <v>1</v>
      </c>
      <c r="K44" t="str">
        <f t="shared" si="0"/>
        <v>Affected</v>
      </c>
      <c r="L44" t="str" cm="1">
        <f t="array" ref="L44">_xlfn.IFS(B44&gt;60,"Older Adult(&gt;60)",B44&gt;35,"Middle-aged Adult(36-60)",B44&gt;18,"Young Adult(19-35)",B44&gt;12,"Adolescent(13-18)",B44&gt;0,"Child(&lt;13)")</f>
        <v>Middle-aged Adult(36-60)</v>
      </c>
    </row>
    <row r="45" spans="1:12">
      <c r="A45" t="s">
        <v>10</v>
      </c>
      <c r="B45">
        <v>9</v>
      </c>
      <c r="C45">
        <v>1</v>
      </c>
      <c r="D45">
        <v>1</v>
      </c>
      <c r="E45">
        <v>1</v>
      </c>
      <c r="F45" t="s">
        <v>43</v>
      </c>
      <c r="G45" t="s">
        <v>17</v>
      </c>
      <c r="H45" t="s">
        <v>24</v>
      </c>
      <c r="I45" t="s">
        <v>14</v>
      </c>
      <c r="J45">
        <v>1</v>
      </c>
      <c r="K45" t="str">
        <f t="shared" si="0"/>
        <v>Affected</v>
      </c>
      <c r="L45" t="str" cm="1">
        <f t="array" ref="L45">_xlfn.IFS(B45&gt;60,"Older Adult(&gt;60)",B45&gt;35,"Middle-aged Adult(36-60)",B45&gt;18,"Young Adult(19-35)",B45&gt;12,"Adolescent(13-18)",B45&gt;0,"Child(&lt;13)")</f>
        <v>Child(&lt;13)</v>
      </c>
    </row>
    <row r="46" spans="1:12">
      <c r="A46" t="s">
        <v>10</v>
      </c>
      <c r="B46">
        <v>37</v>
      </c>
      <c r="C46">
        <v>0</v>
      </c>
      <c r="D46">
        <v>0</v>
      </c>
      <c r="E46">
        <v>0</v>
      </c>
      <c r="F46" t="s">
        <v>44</v>
      </c>
      <c r="G46" t="s">
        <v>12</v>
      </c>
      <c r="H46" t="s">
        <v>13</v>
      </c>
      <c r="I46" t="s">
        <v>14</v>
      </c>
      <c r="J46">
        <v>0</v>
      </c>
      <c r="K46" t="str">
        <f t="shared" si="0"/>
        <v>Not Affected</v>
      </c>
      <c r="L46" t="str" cm="1">
        <f t="array" ref="L46">_xlfn.IFS(B46&gt;60,"Older Adult(&gt;60)",B46&gt;35,"Middle-aged Adult(36-60)",B46&gt;18,"Young Adult(19-35)",B46&gt;12,"Adolescent(13-18)",B46&gt;0,"Child(&lt;13)")</f>
        <v>Middle-aged Adult(36-60)</v>
      </c>
    </row>
    <row r="47" spans="1:12">
      <c r="A47" t="s">
        <v>10</v>
      </c>
      <c r="B47">
        <v>13</v>
      </c>
      <c r="C47">
        <v>0</v>
      </c>
      <c r="D47">
        <v>0</v>
      </c>
      <c r="E47">
        <v>0</v>
      </c>
      <c r="F47" t="s">
        <v>45</v>
      </c>
      <c r="G47" t="s">
        <v>17</v>
      </c>
      <c r="H47" t="s">
        <v>24</v>
      </c>
      <c r="I47" t="s">
        <v>14</v>
      </c>
      <c r="J47">
        <v>0</v>
      </c>
      <c r="K47" t="str">
        <f t="shared" si="0"/>
        <v>Not Affected</v>
      </c>
      <c r="L47" t="str" cm="1">
        <f t="array" ref="L47">_xlfn.IFS(B47&gt;60,"Older Adult(&gt;60)",B47&gt;35,"Middle-aged Adult(36-60)",B47&gt;18,"Young Adult(19-35)",B47&gt;12,"Adolescent(13-18)",B47&gt;0,"Child(&lt;13)")</f>
        <v>Adolescent(13-18)</v>
      </c>
    </row>
    <row r="48" spans="1:12">
      <c r="A48" t="s">
        <v>15</v>
      </c>
      <c r="B48">
        <v>62</v>
      </c>
      <c r="C48">
        <v>0</v>
      </c>
      <c r="D48">
        <v>1</v>
      </c>
      <c r="E48">
        <v>0</v>
      </c>
      <c r="F48" t="s">
        <v>40</v>
      </c>
      <c r="G48" t="s">
        <v>12</v>
      </c>
      <c r="H48" t="s">
        <v>24</v>
      </c>
      <c r="I48" t="s">
        <v>14</v>
      </c>
      <c r="J48">
        <v>1</v>
      </c>
      <c r="K48" t="str">
        <f t="shared" si="0"/>
        <v>Affected</v>
      </c>
      <c r="L48" t="str" cm="1">
        <f t="array" ref="L48">_xlfn.IFS(B48&gt;60,"Older Adult(&gt;60)",B48&gt;35,"Middle-aged Adult(36-60)",B48&gt;18,"Young Adult(19-35)",B48&gt;12,"Adolescent(13-18)",B48&gt;0,"Child(&lt;13)")</f>
        <v>Older Adult(&gt;60)</v>
      </c>
    </row>
    <row r="49" spans="1:12">
      <c r="A49" t="s">
        <v>15</v>
      </c>
      <c r="B49">
        <v>17</v>
      </c>
      <c r="C49">
        <v>0</v>
      </c>
      <c r="D49">
        <v>0</v>
      </c>
      <c r="E49">
        <v>1</v>
      </c>
      <c r="F49" t="s">
        <v>37</v>
      </c>
      <c r="G49" t="s">
        <v>17</v>
      </c>
      <c r="H49" t="s">
        <v>13</v>
      </c>
      <c r="I49" t="s">
        <v>14</v>
      </c>
      <c r="J49">
        <v>0</v>
      </c>
      <c r="K49" t="str">
        <f t="shared" si="0"/>
        <v>Not Affected</v>
      </c>
      <c r="L49" t="str" cm="1">
        <f t="array" ref="L49">_xlfn.IFS(B49&gt;60,"Older Adult(&gt;60)",B49&gt;35,"Middle-aged Adult(36-60)",B49&gt;18,"Young Adult(19-35)",B49&gt;12,"Adolescent(13-18)",B49&gt;0,"Child(&lt;13)")</f>
        <v>Adolescent(13-18)</v>
      </c>
    </row>
    <row r="50" spans="1:12">
      <c r="A50" t="s">
        <v>10</v>
      </c>
      <c r="B50">
        <v>35</v>
      </c>
      <c r="C50">
        <v>0</v>
      </c>
      <c r="D50">
        <v>0</v>
      </c>
      <c r="E50">
        <v>1</v>
      </c>
      <c r="F50" t="s">
        <v>32</v>
      </c>
      <c r="G50" t="s">
        <v>12</v>
      </c>
      <c r="H50" t="s">
        <v>24</v>
      </c>
      <c r="I50" t="s">
        <v>14</v>
      </c>
      <c r="J50">
        <v>0</v>
      </c>
      <c r="K50" t="str">
        <f t="shared" si="0"/>
        <v>Not Affected</v>
      </c>
      <c r="L50" t="str" cm="1">
        <f t="array" ref="L50">_xlfn.IFS(B50&gt;60,"Older Adult(&gt;60)",B50&gt;35,"Middle-aged Adult(36-60)",B50&gt;18,"Young Adult(19-35)",B50&gt;12,"Adolescent(13-18)",B50&gt;0,"Child(&lt;13)")</f>
        <v>Young Adult(19-35)</v>
      </c>
    </row>
    <row r="51" spans="1:12">
      <c r="A51" t="s">
        <v>15</v>
      </c>
      <c r="B51">
        <v>9</v>
      </c>
      <c r="C51">
        <v>1</v>
      </c>
      <c r="D51">
        <v>1</v>
      </c>
      <c r="E51">
        <v>0</v>
      </c>
      <c r="F51" t="s">
        <v>46</v>
      </c>
      <c r="G51" t="s">
        <v>17</v>
      </c>
      <c r="H51" t="s">
        <v>24</v>
      </c>
      <c r="I51" t="s">
        <v>14</v>
      </c>
      <c r="J51">
        <v>1</v>
      </c>
      <c r="K51" t="str">
        <f t="shared" si="0"/>
        <v>Affected</v>
      </c>
      <c r="L51" t="str" cm="1">
        <f t="array" ref="L51">_xlfn.IFS(B51&gt;60,"Older Adult(&gt;60)",B51&gt;35,"Middle-aged Adult(36-60)",B51&gt;18,"Young Adult(19-35)",B51&gt;12,"Adolescent(13-18)",B51&gt;0,"Child(&lt;13)")</f>
        <v>Child(&lt;13)</v>
      </c>
    </row>
    <row r="52" spans="1:12">
      <c r="A52" t="s">
        <v>15</v>
      </c>
      <c r="B52">
        <v>14</v>
      </c>
      <c r="C52">
        <v>1</v>
      </c>
      <c r="D52">
        <v>1</v>
      </c>
      <c r="E52">
        <v>0</v>
      </c>
      <c r="F52" t="s">
        <v>33</v>
      </c>
      <c r="G52" t="s">
        <v>12</v>
      </c>
      <c r="H52" t="s">
        <v>24</v>
      </c>
      <c r="I52" t="s">
        <v>14</v>
      </c>
      <c r="J52">
        <v>1</v>
      </c>
      <c r="K52" t="str">
        <f t="shared" si="0"/>
        <v>Affected</v>
      </c>
      <c r="L52" t="str" cm="1">
        <f t="array" ref="L52">_xlfn.IFS(B52&gt;60,"Older Adult(&gt;60)",B52&gt;35,"Middle-aged Adult(36-60)",B52&gt;18,"Young Adult(19-35)",B52&gt;12,"Adolescent(13-18)",B52&gt;0,"Child(&lt;13)")</f>
        <v>Adolescent(13-18)</v>
      </c>
    </row>
    <row r="53" spans="1:12">
      <c r="A53" t="s">
        <v>15</v>
      </c>
      <c r="B53">
        <v>37</v>
      </c>
      <c r="C53">
        <v>0</v>
      </c>
      <c r="D53">
        <v>0</v>
      </c>
      <c r="E53">
        <v>0</v>
      </c>
      <c r="F53" t="s">
        <v>31</v>
      </c>
      <c r="G53" t="s">
        <v>17</v>
      </c>
      <c r="H53" t="s">
        <v>24</v>
      </c>
      <c r="I53" t="s">
        <v>14</v>
      </c>
      <c r="J53">
        <v>0</v>
      </c>
      <c r="K53" t="str">
        <f t="shared" si="0"/>
        <v>Not Affected</v>
      </c>
      <c r="L53" t="str" cm="1">
        <f t="array" ref="L53">_xlfn.IFS(B53&gt;60,"Older Adult(&gt;60)",B53&gt;35,"Middle-aged Adult(36-60)",B53&gt;18,"Young Adult(19-35)",B53&gt;12,"Adolescent(13-18)",B53&gt;0,"Child(&lt;13)")</f>
        <v>Middle-aged Adult(36-60)</v>
      </c>
    </row>
    <row r="54" spans="1:12">
      <c r="A54" t="s">
        <v>15</v>
      </c>
      <c r="B54">
        <v>13</v>
      </c>
      <c r="C54">
        <v>0</v>
      </c>
      <c r="D54">
        <v>0</v>
      </c>
      <c r="E54">
        <v>0</v>
      </c>
      <c r="F54" t="s">
        <v>47</v>
      </c>
      <c r="G54" t="s">
        <v>12</v>
      </c>
      <c r="H54" t="s">
        <v>19</v>
      </c>
      <c r="I54" t="s">
        <v>14</v>
      </c>
      <c r="J54">
        <v>0</v>
      </c>
      <c r="K54" t="str">
        <f t="shared" si="0"/>
        <v>Not Affected</v>
      </c>
      <c r="L54" t="str" cm="1">
        <f t="array" ref="L54">_xlfn.IFS(B54&gt;60,"Older Adult(&gt;60)",B54&gt;35,"Middle-aged Adult(36-60)",B54&gt;18,"Young Adult(19-35)",B54&gt;12,"Adolescent(13-18)",B54&gt;0,"Child(&lt;13)")</f>
        <v>Adolescent(13-18)</v>
      </c>
    </row>
    <row r="55" spans="1:12">
      <c r="A55" t="s">
        <v>15</v>
      </c>
      <c r="B55">
        <v>57</v>
      </c>
      <c r="C55">
        <v>0</v>
      </c>
      <c r="D55">
        <v>0</v>
      </c>
      <c r="E55">
        <v>0</v>
      </c>
      <c r="F55" t="s">
        <v>30</v>
      </c>
      <c r="G55" t="s">
        <v>17</v>
      </c>
      <c r="H55" t="s">
        <v>13</v>
      </c>
      <c r="I55" t="s">
        <v>14</v>
      </c>
      <c r="J55">
        <v>0</v>
      </c>
      <c r="K55" t="str">
        <f t="shared" si="0"/>
        <v>Not Affected</v>
      </c>
      <c r="L55" t="str" cm="1">
        <f t="array" ref="L55">_xlfn.IFS(B55&gt;60,"Older Adult(&gt;60)",B55&gt;35,"Middle-aged Adult(36-60)",B55&gt;18,"Young Adult(19-35)",B55&gt;12,"Adolescent(13-18)",B55&gt;0,"Child(&lt;13)")</f>
        <v>Middle-aged Adult(36-60)</v>
      </c>
    </row>
    <row r="56" spans="1:12">
      <c r="A56" t="s">
        <v>10</v>
      </c>
      <c r="B56">
        <v>41</v>
      </c>
      <c r="C56">
        <v>0</v>
      </c>
      <c r="D56">
        <v>0</v>
      </c>
      <c r="E56">
        <v>0</v>
      </c>
      <c r="F56" t="s">
        <v>20</v>
      </c>
      <c r="G56" t="s">
        <v>12</v>
      </c>
      <c r="H56" t="s">
        <v>13</v>
      </c>
      <c r="I56" t="s">
        <v>14</v>
      </c>
      <c r="J56">
        <v>0</v>
      </c>
      <c r="K56" t="str">
        <f t="shared" si="0"/>
        <v>Not Affected</v>
      </c>
      <c r="L56" t="str" cm="1">
        <f t="array" ref="L56">_xlfn.IFS(B56&gt;60,"Older Adult(&gt;60)",B56&gt;35,"Middle-aged Adult(36-60)",B56&gt;18,"Young Adult(19-35)",B56&gt;12,"Adolescent(13-18)",B56&gt;0,"Child(&lt;13)")</f>
        <v>Middle-aged Adult(36-60)</v>
      </c>
    </row>
    <row r="57" spans="1:12">
      <c r="A57" t="s">
        <v>15</v>
      </c>
      <c r="B57">
        <v>24</v>
      </c>
      <c r="C57">
        <v>1</v>
      </c>
      <c r="D57">
        <v>1</v>
      </c>
      <c r="E57">
        <v>1</v>
      </c>
      <c r="F57" t="s">
        <v>32</v>
      </c>
      <c r="G57" t="s">
        <v>17</v>
      </c>
      <c r="H57" t="s">
        <v>13</v>
      </c>
      <c r="I57" t="s">
        <v>14</v>
      </c>
      <c r="J57">
        <v>1</v>
      </c>
      <c r="K57" t="str">
        <f t="shared" si="0"/>
        <v>Affected</v>
      </c>
      <c r="L57" t="str" cm="1">
        <f t="array" ref="L57">_xlfn.IFS(B57&gt;60,"Older Adult(&gt;60)",B57&gt;35,"Middle-aged Adult(36-60)",B57&gt;18,"Young Adult(19-35)",B57&gt;12,"Adolescent(13-18)",B57&gt;0,"Child(&lt;13)")</f>
        <v>Young Adult(19-35)</v>
      </c>
    </row>
    <row r="58" spans="1:12">
      <c r="A58" t="s">
        <v>15</v>
      </c>
      <c r="B58">
        <v>28</v>
      </c>
      <c r="C58">
        <v>0</v>
      </c>
      <c r="D58">
        <v>0</v>
      </c>
      <c r="E58">
        <v>0</v>
      </c>
      <c r="F58" t="s">
        <v>21</v>
      </c>
      <c r="G58" t="s">
        <v>12</v>
      </c>
      <c r="H58" t="s">
        <v>19</v>
      </c>
      <c r="I58" t="s">
        <v>14</v>
      </c>
      <c r="J58">
        <v>0</v>
      </c>
      <c r="K58" t="str">
        <f t="shared" si="0"/>
        <v>Not Affected</v>
      </c>
      <c r="L58" t="str" cm="1">
        <f t="array" ref="L58">_xlfn.IFS(B58&gt;60,"Older Adult(&gt;60)",B58&gt;35,"Middle-aged Adult(36-60)",B58&gt;18,"Young Adult(19-35)",B58&gt;12,"Adolescent(13-18)",B58&gt;0,"Child(&lt;13)")</f>
        <v>Young Adult(19-35)</v>
      </c>
    </row>
    <row r="59" spans="1:12">
      <c r="A59" t="s">
        <v>15</v>
      </c>
      <c r="B59">
        <v>25</v>
      </c>
      <c r="C59">
        <v>0</v>
      </c>
      <c r="D59">
        <v>0</v>
      </c>
      <c r="E59">
        <v>1</v>
      </c>
      <c r="F59" t="s">
        <v>27</v>
      </c>
      <c r="G59" t="s">
        <v>17</v>
      </c>
      <c r="H59" t="s">
        <v>19</v>
      </c>
      <c r="I59" t="s">
        <v>14</v>
      </c>
      <c r="J59">
        <v>0</v>
      </c>
      <c r="K59" t="str">
        <f t="shared" si="0"/>
        <v>Not Affected</v>
      </c>
      <c r="L59" t="str" cm="1">
        <f t="array" ref="L59">_xlfn.IFS(B59&gt;60,"Older Adult(&gt;60)",B59&gt;35,"Middle-aged Adult(36-60)",B59&gt;18,"Young Adult(19-35)",B59&gt;12,"Adolescent(13-18)",B59&gt;0,"Child(&lt;13)")</f>
        <v>Young Adult(19-35)</v>
      </c>
    </row>
    <row r="60" spans="1:12">
      <c r="A60" t="s">
        <v>15</v>
      </c>
      <c r="B60">
        <v>44</v>
      </c>
      <c r="C60">
        <v>0</v>
      </c>
      <c r="D60">
        <v>0</v>
      </c>
      <c r="E60">
        <v>1</v>
      </c>
      <c r="F60" t="s">
        <v>42</v>
      </c>
      <c r="G60" t="s">
        <v>12</v>
      </c>
      <c r="H60" t="s">
        <v>24</v>
      </c>
      <c r="I60" t="s">
        <v>14</v>
      </c>
      <c r="J60">
        <v>0</v>
      </c>
      <c r="K60" t="str">
        <f t="shared" si="0"/>
        <v>Not Affected</v>
      </c>
      <c r="L60" t="str" cm="1">
        <f t="array" ref="L60">_xlfn.IFS(B60&gt;60,"Older Adult(&gt;60)",B60&gt;35,"Middle-aged Adult(36-60)",B60&gt;18,"Young Adult(19-35)",B60&gt;12,"Adolescent(13-18)",B60&gt;0,"Child(&lt;13)")</f>
        <v>Middle-aged Adult(36-60)</v>
      </c>
    </row>
    <row r="61" spans="1:12">
      <c r="A61" t="s">
        <v>15</v>
      </c>
      <c r="B61">
        <v>10</v>
      </c>
      <c r="C61">
        <v>1</v>
      </c>
      <c r="D61">
        <v>1</v>
      </c>
      <c r="E61">
        <v>1</v>
      </c>
      <c r="F61" t="s">
        <v>39</v>
      </c>
      <c r="G61" t="s">
        <v>17</v>
      </c>
      <c r="H61" t="s">
        <v>24</v>
      </c>
      <c r="I61" t="s">
        <v>14</v>
      </c>
      <c r="J61">
        <v>1</v>
      </c>
      <c r="K61" t="str">
        <f t="shared" si="0"/>
        <v>Affected</v>
      </c>
      <c r="L61" t="str" cm="1">
        <f t="array" ref="L61">_xlfn.IFS(B61&gt;60,"Older Adult(&gt;60)",B61&gt;35,"Middle-aged Adult(36-60)",B61&gt;18,"Young Adult(19-35)",B61&gt;12,"Adolescent(13-18)",B61&gt;0,"Child(&lt;13)")</f>
        <v>Child(&lt;13)</v>
      </c>
    </row>
    <row r="62" spans="1:12">
      <c r="A62" t="s">
        <v>10</v>
      </c>
      <c r="B62">
        <v>13</v>
      </c>
      <c r="C62">
        <v>1</v>
      </c>
      <c r="D62">
        <v>1</v>
      </c>
      <c r="E62">
        <v>1</v>
      </c>
      <c r="F62" t="s">
        <v>22</v>
      </c>
      <c r="G62" t="s">
        <v>12</v>
      </c>
      <c r="H62" t="s">
        <v>19</v>
      </c>
      <c r="I62" t="s">
        <v>14</v>
      </c>
      <c r="J62">
        <v>1</v>
      </c>
      <c r="K62" t="str">
        <f t="shared" si="0"/>
        <v>Affected</v>
      </c>
      <c r="L62" t="str" cm="1">
        <f t="array" ref="L62">_xlfn.IFS(B62&gt;60,"Older Adult(&gt;60)",B62&gt;35,"Middle-aged Adult(36-60)",B62&gt;18,"Young Adult(19-35)",B62&gt;12,"Adolescent(13-18)",B62&gt;0,"Child(&lt;13)")</f>
        <v>Adolescent(13-18)</v>
      </c>
    </row>
    <row r="63" spans="1:12">
      <c r="A63" t="s">
        <v>10</v>
      </c>
      <c r="B63">
        <v>65</v>
      </c>
      <c r="C63">
        <v>1</v>
      </c>
      <c r="D63">
        <v>1</v>
      </c>
      <c r="E63">
        <v>0</v>
      </c>
      <c r="F63" t="s">
        <v>48</v>
      </c>
      <c r="G63" t="s">
        <v>17</v>
      </c>
      <c r="H63" t="s">
        <v>13</v>
      </c>
      <c r="I63" t="s">
        <v>14</v>
      </c>
      <c r="J63">
        <v>1</v>
      </c>
      <c r="K63" t="str">
        <f t="shared" si="0"/>
        <v>Affected</v>
      </c>
      <c r="L63" t="str" cm="1">
        <f t="array" ref="L63">_xlfn.IFS(B63&gt;60,"Older Adult(&gt;60)",B63&gt;35,"Middle-aged Adult(36-60)",B63&gt;18,"Young Adult(19-35)",B63&gt;12,"Adolescent(13-18)",B63&gt;0,"Child(&lt;13)")</f>
        <v>Older Adult(&gt;60)</v>
      </c>
    </row>
    <row r="64" spans="1:12">
      <c r="A64" t="s">
        <v>15</v>
      </c>
      <c r="B64">
        <v>53</v>
      </c>
      <c r="C64">
        <v>0</v>
      </c>
      <c r="D64">
        <v>0</v>
      </c>
      <c r="E64">
        <v>0</v>
      </c>
      <c r="F64" t="s">
        <v>38</v>
      </c>
      <c r="G64" t="s">
        <v>12</v>
      </c>
      <c r="H64" t="s">
        <v>19</v>
      </c>
      <c r="I64" t="s">
        <v>14</v>
      </c>
      <c r="J64">
        <v>0</v>
      </c>
      <c r="K64" t="str">
        <f t="shared" si="0"/>
        <v>Not Affected</v>
      </c>
      <c r="L64" t="str" cm="1">
        <f t="array" ref="L64">_xlfn.IFS(B64&gt;60,"Older Adult(&gt;60)",B64&gt;35,"Middle-aged Adult(36-60)",B64&gt;18,"Young Adult(19-35)",B64&gt;12,"Adolescent(13-18)",B64&gt;0,"Child(&lt;13)")</f>
        <v>Middle-aged Adult(36-60)</v>
      </c>
    </row>
    <row r="65" spans="1:12">
      <c r="A65" t="s">
        <v>15</v>
      </c>
      <c r="B65">
        <v>54</v>
      </c>
      <c r="C65">
        <v>0</v>
      </c>
      <c r="D65">
        <v>0</v>
      </c>
      <c r="E65">
        <v>1</v>
      </c>
      <c r="F65" t="s">
        <v>44</v>
      </c>
      <c r="G65" t="s">
        <v>17</v>
      </c>
      <c r="H65" t="s">
        <v>19</v>
      </c>
      <c r="I65" t="s">
        <v>14</v>
      </c>
      <c r="J65">
        <v>0</v>
      </c>
      <c r="K65" t="str">
        <f t="shared" si="0"/>
        <v>Not Affected</v>
      </c>
      <c r="L65" t="str" cm="1">
        <f t="array" ref="L65">_xlfn.IFS(B65&gt;60,"Older Adult(&gt;60)",B65&gt;35,"Middle-aged Adult(36-60)",B65&gt;18,"Young Adult(19-35)",B65&gt;12,"Adolescent(13-18)",B65&gt;0,"Child(&lt;13)")</f>
        <v>Middle-aged Adult(36-60)</v>
      </c>
    </row>
    <row r="66" spans="1:12">
      <c r="A66" t="s">
        <v>10</v>
      </c>
      <c r="B66">
        <v>59</v>
      </c>
      <c r="C66">
        <v>0</v>
      </c>
      <c r="D66">
        <v>0</v>
      </c>
      <c r="E66">
        <v>1</v>
      </c>
      <c r="F66" t="s">
        <v>49</v>
      </c>
      <c r="G66" t="s">
        <v>12</v>
      </c>
      <c r="H66" t="s">
        <v>13</v>
      </c>
      <c r="I66" t="s">
        <v>14</v>
      </c>
      <c r="J66">
        <v>0</v>
      </c>
      <c r="K66" t="str">
        <f t="shared" si="0"/>
        <v>Not Affected</v>
      </c>
      <c r="L66" t="str" cm="1">
        <f t="array" ref="L66">_xlfn.IFS(B66&gt;60,"Older Adult(&gt;60)",B66&gt;35,"Middle-aged Adult(36-60)",B66&gt;18,"Young Adult(19-35)",B66&gt;12,"Adolescent(13-18)",B66&gt;0,"Child(&lt;13)")</f>
        <v>Middle-aged Adult(36-60)</v>
      </c>
    </row>
    <row r="67" spans="1:12">
      <c r="A67" t="s">
        <v>15</v>
      </c>
      <c r="B67">
        <v>47</v>
      </c>
      <c r="C67">
        <v>1</v>
      </c>
      <c r="D67">
        <v>1</v>
      </c>
      <c r="E67">
        <v>1</v>
      </c>
      <c r="F67" t="s">
        <v>50</v>
      </c>
      <c r="G67" t="s">
        <v>17</v>
      </c>
      <c r="H67" t="s">
        <v>13</v>
      </c>
      <c r="I67" t="s">
        <v>14</v>
      </c>
      <c r="J67">
        <v>1</v>
      </c>
      <c r="K67" t="str">
        <f t="shared" ref="K67:K130" si="1">IF(J67=0, "Not Affected", "Affected")</f>
        <v>Affected</v>
      </c>
      <c r="L67" t="str" cm="1">
        <f t="array" ref="L67">_xlfn.IFS(B67&gt;60,"Older Adult(&gt;60)",B67&gt;35,"Middle-aged Adult(36-60)",B67&gt;18,"Young Adult(19-35)",B67&gt;12,"Adolescent(13-18)",B67&gt;0,"Child(&lt;13)")</f>
        <v>Middle-aged Adult(36-60)</v>
      </c>
    </row>
    <row r="68" spans="1:12">
      <c r="A68" t="s">
        <v>10</v>
      </c>
      <c r="B68">
        <v>28</v>
      </c>
      <c r="C68">
        <v>1</v>
      </c>
      <c r="D68">
        <v>1</v>
      </c>
      <c r="E68">
        <v>1</v>
      </c>
      <c r="F68" t="s">
        <v>39</v>
      </c>
      <c r="G68" t="s">
        <v>12</v>
      </c>
      <c r="H68" t="s">
        <v>19</v>
      </c>
      <c r="I68" t="s">
        <v>14</v>
      </c>
      <c r="J68">
        <v>1</v>
      </c>
      <c r="K68" t="str">
        <f t="shared" si="1"/>
        <v>Affected</v>
      </c>
      <c r="L68" t="str" cm="1">
        <f t="array" ref="L68">_xlfn.IFS(B68&gt;60,"Older Adult(&gt;60)",B68&gt;35,"Middle-aged Adult(36-60)",B68&gt;18,"Young Adult(19-35)",B68&gt;12,"Adolescent(13-18)",B68&gt;0,"Child(&lt;13)")</f>
        <v>Young Adult(19-35)</v>
      </c>
    </row>
    <row r="69" spans="1:12">
      <c r="A69" t="s">
        <v>10</v>
      </c>
      <c r="B69">
        <v>38</v>
      </c>
      <c r="C69">
        <v>1</v>
      </c>
      <c r="D69">
        <v>1</v>
      </c>
      <c r="E69">
        <v>0</v>
      </c>
      <c r="F69" t="s">
        <v>50</v>
      </c>
      <c r="G69" t="s">
        <v>17</v>
      </c>
      <c r="H69" t="s">
        <v>24</v>
      </c>
      <c r="I69" t="s">
        <v>14</v>
      </c>
      <c r="J69">
        <v>1</v>
      </c>
      <c r="K69" t="str">
        <f t="shared" si="1"/>
        <v>Affected</v>
      </c>
      <c r="L69" t="str" cm="1">
        <f t="array" ref="L69">_xlfn.IFS(B69&gt;60,"Older Adult(&gt;60)",B69&gt;35,"Middle-aged Adult(36-60)",B69&gt;18,"Young Adult(19-35)",B69&gt;12,"Adolescent(13-18)",B69&gt;0,"Child(&lt;13)")</f>
        <v>Middle-aged Adult(36-60)</v>
      </c>
    </row>
    <row r="70" spans="1:12">
      <c r="A70" t="s">
        <v>10</v>
      </c>
      <c r="B70">
        <v>11</v>
      </c>
      <c r="C70">
        <v>1</v>
      </c>
      <c r="D70">
        <v>1</v>
      </c>
      <c r="E70">
        <v>0</v>
      </c>
      <c r="F70" t="s">
        <v>26</v>
      </c>
      <c r="G70" t="s">
        <v>12</v>
      </c>
      <c r="H70" t="s">
        <v>24</v>
      </c>
      <c r="I70" t="s">
        <v>14</v>
      </c>
      <c r="J70">
        <v>1</v>
      </c>
      <c r="K70" t="str">
        <f t="shared" si="1"/>
        <v>Affected</v>
      </c>
      <c r="L70" t="str" cm="1">
        <f t="array" ref="L70">_xlfn.IFS(B70&gt;60,"Older Adult(&gt;60)",B70&gt;35,"Middle-aged Adult(36-60)",B70&gt;18,"Young Adult(19-35)",B70&gt;12,"Adolescent(13-18)",B70&gt;0,"Child(&lt;13)")</f>
        <v>Child(&lt;13)</v>
      </c>
    </row>
    <row r="71" spans="1:12">
      <c r="A71" t="s">
        <v>10</v>
      </c>
      <c r="B71">
        <v>65</v>
      </c>
      <c r="C71">
        <v>0</v>
      </c>
      <c r="D71">
        <v>0</v>
      </c>
      <c r="E71">
        <v>0</v>
      </c>
      <c r="F71" t="s">
        <v>29</v>
      </c>
      <c r="G71" t="s">
        <v>17</v>
      </c>
      <c r="H71" t="s">
        <v>24</v>
      </c>
      <c r="I71" t="s">
        <v>14</v>
      </c>
      <c r="J71">
        <v>0</v>
      </c>
      <c r="K71" t="str">
        <f t="shared" si="1"/>
        <v>Not Affected</v>
      </c>
      <c r="L71" t="str" cm="1">
        <f t="array" ref="L71">_xlfn.IFS(B71&gt;60,"Older Adult(&gt;60)",B71&gt;35,"Middle-aged Adult(36-60)",B71&gt;18,"Young Adult(19-35)",B71&gt;12,"Adolescent(13-18)",B71&gt;0,"Child(&lt;13)")</f>
        <v>Older Adult(&gt;60)</v>
      </c>
    </row>
    <row r="72" spans="1:12">
      <c r="A72" t="s">
        <v>15</v>
      </c>
      <c r="B72">
        <v>17</v>
      </c>
      <c r="C72">
        <v>1</v>
      </c>
      <c r="D72">
        <v>1</v>
      </c>
      <c r="E72">
        <v>0</v>
      </c>
      <c r="F72" t="s">
        <v>20</v>
      </c>
      <c r="G72" t="s">
        <v>12</v>
      </c>
      <c r="H72" t="s">
        <v>19</v>
      </c>
      <c r="I72" t="s">
        <v>14</v>
      </c>
      <c r="J72">
        <v>1</v>
      </c>
      <c r="K72" t="str">
        <f t="shared" si="1"/>
        <v>Affected</v>
      </c>
      <c r="L72" t="str" cm="1">
        <f t="array" ref="L72">_xlfn.IFS(B72&gt;60,"Older Adult(&gt;60)",B72&gt;35,"Middle-aged Adult(36-60)",B72&gt;18,"Young Adult(19-35)",B72&gt;12,"Adolescent(13-18)",B72&gt;0,"Child(&lt;13)")</f>
        <v>Adolescent(13-18)</v>
      </c>
    </row>
    <row r="73" spans="1:12">
      <c r="A73" t="s">
        <v>15</v>
      </c>
      <c r="B73">
        <v>64</v>
      </c>
      <c r="C73">
        <v>0</v>
      </c>
      <c r="D73">
        <v>0</v>
      </c>
      <c r="E73">
        <v>0</v>
      </c>
      <c r="F73" t="s">
        <v>51</v>
      </c>
      <c r="G73" t="s">
        <v>17</v>
      </c>
      <c r="H73" t="s">
        <v>24</v>
      </c>
      <c r="I73" t="s">
        <v>14</v>
      </c>
      <c r="J73">
        <v>0</v>
      </c>
      <c r="K73" t="str">
        <f t="shared" si="1"/>
        <v>Not Affected</v>
      </c>
      <c r="L73" t="str" cm="1">
        <f t="array" ref="L73">_xlfn.IFS(B73&gt;60,"Older Adult(&gt;60)",B73&gt;35,"Middle-aged Adult(36-60)",B73&gt;18,"Young Adult(19-35)",B73&gt;12,"Adolescent(13-18)",B73&gt;0,"Child(&lt;13)")</f>
        <v>Older Adult(&gt;60)</v>
      </c>
    </row>
    <row r="74" spans="1:12">
      <c r="A74" t="s">
        <v>10</v>
      </c>
      <c r="B74">
        <v>45</v>
      </c>
      <c r="C74">
        <v>1</v>
      </c>
      <c r="D74">
        <v>1</v>
      </c>
      <c r="E74">
        <v>1</v>
      </c>
      <c r="F74" t="s">
        <v>35</v>
      </c>
      <c r="G74" t="s">
        <v>12</v>
      </c>
      <c r="H74" t="s">
        <v>24</v>
      </c>
      <c r="I74" t="s">
        <v>14</v>
      </c>
      <c r="J74">
        <v>1</v>
      </c>
      <c r="K74" t="str">
        <f t="shared" si="1"/>
        <v>Affected</v>
      </c>
      <c r="L74" t="str" cm="1">
        <f t="array" ref="L74">_xlfn.IFS(B74&gt;60,"Older Adult(&gt;60)",B74&gt;35,"Middle-aged Adult(36-60)",B74&gt;18,"Young Adult(19-35)",B74&gt;12,"Adolescent(13-18)",B74&gt;0,"Child(&lt;13)")</f>
        <v>Middle-aged Adult(36-60)</v>
      </c>
    </row>
    <row r="75" spans="1:12">
      <c r="A75" t="s">
        <v>10</v>
      </c>
      <c r="B75">
        <v>10</v>
      </c>
      <c r="C75">
        <v>1</v>
      </c>
      <c r="D75">
        <v>1</v>
      </c>
      <c r="E75">
        <v>0</v>
      </c>
      <c r="F75" t="s">
        <v>49</v>
      </c>
      <c r="G75" t="s">
        <v>17</v>
      </c>
      <c r="H75" t="s">
        <v>13</v>
      </c>
      <c r="I75" t="s">
        <v>14</v>
      </c>
      <c r="J75">
        <v>1</v>
      </c>
      <c r="K75" t="str">
        <f t="shared" si="1"/>
        <v>Affected</v>
      </c>
      <c r="L75" t="str" cm="1">
        <f t="array" ref="L75">_xlfn.IFS(B75&gt;60,"Older Adult(&gt;60)",B75&gt;35,"Middle-aged Adult(36-60)",B75&gt;18,"Young Adult(19-35)",B75&gt;12,"Adolescent(13-18)",B75&gt;0,"Child(&lt;13)")</f>
        <v>Child(&lt;13)</v>
      </c>
    </row>
    <row r="76" spans="1:12">
      <c r="A76" t="s">
        <v>15</v>
      </c>
      <c r="B76">
        <v>49</v>
      </c>
      <c r="C76">
        <v>1</v>
      </c>
      <c r="D76">
        <v>1</v>
      </c>
      <c r="E76">
        <v>1</v>
      </c>
      <c r="F76" t="s">
        <v>44</v>
      </c>
      <c r="G76" t="s">
        <v>12</v>
      </c>
      <c r="H76" t="s">
        <v>19</v>
      </c>
      <c r="I76" t="s">
        <v>14</v>
      </c>
      <c r="J76">
        <v>1</v>
      </c>
      <c r="K76" t="str">
        <f t="shared" si="1"/>
        <v>Affected</v>
      </c>
      <c r="L76" t="str" cm="1">
        <f t="array" ref="L76">_xlfn.IFS(B76&gt;60,"Older Adult(&gt;60)",B76&gt;35,"Middle-aged Adult(36-60)",B76&gt;18,"Young Adult(19-35)",B76&gt;12,"Adolescent(13-18)",B76&gt;0,"Child(&lt;13)")</f>
        <v>Middle-aged Adult(36-60)</v>
      </c>
    </row>
    <row r="77" spans="1:12">
      <c r="A77" t="s">
        <v>15</v>
      </c>
      <c r="B77">
        <v>61</v>
      </c>
      <c r="C77">
        <v>0</v>
      </c>
      <c r="D77">
        <v>0</v>
      </c>
      <c r="E77">
        <v>1</v>
      </c>
      <c r="F77" t="s">
        <v>37</v>
      </c>
      <c r="G77" t="s">
        <v>17</v>
      </c>
      <c r="H77" t="s">
        <v>24</v>
      </c>
      <c r="I77" t="s">
        <v>14</v>
      </c>
      <c r="J77">
        <v>0</v>
      </c>
      <c r="K77" t="str">
        <f t="shared" si="1"/>
        <v>Not Affected</v>
      </c>
      <c r="L77" t="str" cm="1">
        <f t="array" ref="L77">_xlfn.IFS(B77&gt;60,"Older Adult(&gt;60)",B77&gt;35,"Middle-aged Adult(36-60)",B77&gt;18,"Young Adult(19-35)",B77&gt;12,"Adolescent(13-18)",B77&gt;0,"Child(&lt;13)")</f>
        <v>Older Adult(&gt;60)</v>
      </c>
    </row>
    <row r="78" spans="1:12">
      <c r="A78" t="s">
        <v>10</v>
      </c>
      <c r="B78">
        <v>61</v>
      </c>
      <c r="C78">
        <v>1</v>
      </c>
      <c r="D78">
        <v>1</v>
      </c>
      <c r="E78">
        <v>1</v>
      </c>
      <c r="F78" t="s">
        <v>39</v>
      </c>
      <c r="G78" t="s">
        <v>12</v>
      </c>
      <c r="H78" t="s">
        <v>19</v>
      </c>
      <c r="I78" t="s">
        <v>14</v>
      </c>
      <c r="J78">
        <v>1</v>
      </c>
      <c r="K78" t="str">
        <f t="shared" si="1"/>
        <v>Affected</v>
      </c>
      <c r="L78" t="str" cm="1">
        <f t="array" ref="L78">_xlfn.IFS(B78&gt;60,"Older Adult(&gt;60)",B78&gt;35,"Middle-aged Adult(36-60)",B78&gt;18,"Young Adult(19-35)",B78&gt;12,"Adolescent(13-18)",B78&gt;0,"Child(&lt;13)")</f>
        <v>Older Adult(&gt;60)</v>
      </c>
    </row>
    <row r="79" spans="1:12">
      <c r="A79" t="s">
        <v>15</v>
      </c>
      <c r="B79">
        <v>21</v>
      </c>
      <c r="C79">
        <v>0</v>
      </c>
      <c r="D79">
        <v>0</v>
      </c>
      <c r="E79">
        <v>1</v>
      </c>
      <c r="F79" t="s">
        <v>22</v>
      </c>
      <c r="G79" t="s">
        <v>17</v>
      </c>
      <c r="H79" t="s">
        <v>13</v>
      </c>
      <c r="I79" t="s">
        <v>14</v>
      </c>
      <c r="J79">
        <v>0</v>
      </c>
      <c r="K79" t="str">
        <f t="shared" si="1"/>
        <v>Not Affected</v>
      </c>
      <c r="L79" t="str" cm="1">
        <f t="array" ref="L79">_xlfn.IFS(B79&gt;60,"Older Adult(&gt;60)",B79&gt;35,"Middle-aged Adult(36-60)",B79&gt;18,"Young Adult(19-35)",B79&gt;12,"Adolescent(13-18)",B79&gt;0,"Child(&lt;13)")</f>
        <v>Young Adult(19-35)</v>
      </c>
    </row>
    <row r="80" spans="1:12">
      <c r="A80" t="s">
        <v>15</v>
      </c>
      <c r="B80">
        <v>64</v>
      </c>
      <c r="C80">
        <v>1</v>
      </c>
      <c r="D80">
        <v>1</v>
      </c>
      <c r="E80">
        <v>1</v>
      </c>
      <c r="F80" t="s">
        <v>33</v>
      </c>
      <c r="G80" t="s">
        <v>12</v>
      </c>
      <c r="H80" t="s">
        <v>19</v>
      </c>
      <c r="I80" t="s">
        <v>14</v>
      </c>
      <c r="J80">
        <v>1</v>
      </c>
      <c r="K80" t="str">
        <f t="shared" si="1"/>
        <v>Affected</v>
      </c>
      <c r="L80" t="str" cm="1">
        <f t="array" ref="L80">_xlfn.IFS(B80&gt;60,"Older Adult(&gt;60)",B80&gt;35,"Middle-aged Adult(36-60)",B80&gt;18,"Young Adult(19-35)",B80&gt;12,"Adolescent(13-18)",B80&gt;0,"Child(&lt;13)")</f>
        <v>Older Adult(&gt;60)</v>
      </c>
    </row>
    <row r="81" spans="1:12">
      <c r="A81" t="s">
        <v>10</v>
      </c>
      <c r="B81">
        <v>24</v>
      </c>
      <c r="C81">
        <v>0</v>
      </c>
      <c r="D81">
        <v>0</v>
      </c>
      <c r="E81">
        <v>0</v>
      </c>
      <c r="F81" t="s">
        <v>32</v>
      </c>
      <c r="G81" t="s">
        <v>17</v>
      </c>
      <c r="H81" t="s">
        <v>24</v>
      </c>
      <c r="I81" t="s">
        <v>14</v>
      </c>
      <c r="J81">
        <v>0</v>
      </c>
      <c r="K81" t="str">
        <f t="shared" si="1"/>
        <v>Not Affected</v>
      </c>
      <c r="L81" t="str" cm="1">
        <f t="array" ref="L81">_xlfn.IFS(B81&gt;60,"Older Adult(&gt;60)",B81&gt;35,"Middle-aged Adult(36-60)",B81&gt;18,"Young Adult(19-35)",B81&gt;12,"Adolescent(13-18)",B81&gt;0,"Child(&lt;13)")</f>
        <v>Young Adult(19-35)</v>
      </c>
    </row>
    <row r="82" spans="1:12">
      <c r="A82" t="s">
        <v>10</v>
      </c>
      <c r="B82">
        <v>62</v>
      </c>
      <c r="C82">
        <v>1</v>
      </c>
      <c r="D82">
        <v>1</v>
      </c>
      <c r="E82">
        <v>0</v>
      </c>
      <c r="F82" t="s">
        <v>32</v>
      </c>
      <c r="G82" t="s">
        <v>12</v>
      </c>
      <c r="H82" t="s">
        <v>13</v>
      </c>
      <c r="I82" t="s">
        <v>14</v>
      </c>
      <c r="J82">
        <v>1</v>
      </c>
      <c r="K82" t="str">
        <f t="shared" si="1"/>
        <v>Affected</v>
      </c>
      <c r="L82" t="str" cm="1">
        <f t="array" ref="L82">_xlfn.IFS(B82&gt;60,"Older Adult(&gt;60)",B82&gt;35,"Middle-aged Adult(36-60)",B82&gt;18,"Young Adult(19-35)",B82&gt;12,"Adolescent(13-18)",B82&gt;0,"Child(&lt;13)")</f>
        <v>Older Adult(&gt;60)</v>
      </c>
    </row>
    <row r="83" spans="1:12">
      <c r="A83" t="s">
        <v>15</v>
      </c>
      <c r="B83">
        <v>59</v>
      </c>
      <c r="C83">
        <v>1</v>
      </c>
      <c r="D83">
        <v>1</v>
      </c>
      <c r="E83">
        <v>1</v>
      </c>
      <c r="F83" t="s">
        <v>29</v>
      </c>
      <c r="G83" t="s">
        <v>17</v>
      </c>
      <c r="H83" t="s">
        <v>19</v>
      </c>
      <c r="I83" t="s">
        <v>14</v>
      </c>
      <c r="J83">
        <v>1</v>
      </c>
      <c r="K83" t="str">
        <f t="shared" si="1"/>
        <v>Affected</v>
      </c>
      <c r="L83" t="str" cm="1">
        <f t="array" ref="L83">_xlfn.IFS(B83&gt;60,"Older Adult(&gt;60)",B83&gt;35,"Middle-aged Adult(36-60)",B83&gt;18,"Young Adult(19-35)",B83&gt;12,"Adolescent(13-18)",B83&gt;0,"Child(&lt;13)")</f>
        <v>Middle-aged Adult(36-60)</v>
      </c>
    </row>
    <row r="84" spans="1:12">
      <c r="A84" t="s">
        <v>15</v>
      </c>
      <c r="B84">
        <v>44</v>
      </c>
      <c r="C84">
        <v>0</v>
      </c>
      <c r="D84">
        <v>0</v>
      </c>
      <c r="E84">
        <v>0</v>
      </c>
      <c r="F84" t="s">
        <v>23</v>
      </c>
      <c r="G84" t="s">
        <v>12</v>
      </c>
      <c r="H84" t="s">
        <v>24</v>
      </c>
      <c r="I84" t="s">
        <v>14</v>
      </c>
      <c r="J84">
        <v>0</v>
      </c>
      <c r="K84" t="str">
        <f t="shared" si="1"/>
        <v>Not Affected</v>
      </c>
      <c r="L84" t="str" cm="1">
        <f t="array" ref="L84">_xlfn.IFS(B84&gt;60,"Older Adult(&gt;60)",B84&gt;35,"Middle-aged Adult(36-60)",B84&gt;18,"Young Adult(19-35)",B84&gt;12,"Adolescent(13-18)",B84&gt;0,"Child(&lt;13)")</f>
        <v>Middle-aged Adult(36-60)</v>
      </c>
    </row>
    <row r="85" spans="1:12">
      <c r="A85" t="s">
        <v>10</v>
      </c>
      <c r="B85">
        <v>12</v>
      </c>
      <c r="C85">
        <v>1</v>
      </c>
      <c r="D85">
        <v>1</v>
      </c>
      <c r="E85">
        <v>0</v>
      </c>
      <c r="F85" t="s">
        <v>48</v>
      </c>
      <c r="G85" t="s">
        <v>17</v>
      </c>
      <c r="H85" t="s">
        <v>19</v>
      </c>
      <c r="I85" t="s">
        <v>14</v>
      </c>
      <c r="J85">
        <v>1</v>
      </c>
      <c r="K85" t="str">
        <f t="shared" si="1"/>
        <v>Affected</v>
      </c>
      <c r="L85" t="str" cm="1">
        <f t="array" ref="L85">_xlfn.IFS(B85&gt;60,"Older Adult(&gt;60)",B85&gt;35,"Middle-aged Adult(36-60)",B85&gt;18,"Young Adult(19-35)",B85&gt;12,"Adolescent(13-18)",B85&gt;0,"Child(&lt;13)")</f>
        <v>Child(&lt;13)</v>
      </c>
    </row>
    <row r="86" spans="1:12">
      <c r="A86" t="s">
        <v>10</v>
      </c>
      <c r="B86">
        <v>29</v>
      </c>
      <c r="C86">
        <v>1</v>
      </c>
      <c r="D86">
        <v>1</v>
      </c>
      <c r="E86">
        <v>1</v>
      </c>
      <c r="F86" t="s">
        <v>31</v>
      </c>
      <c r="G86" t="s">
        <v>12</v>
      </c>
      <c r="H86" t="s">
        <v>24</v>
      </c>
      <c r="I86" t="s">
        <v>14</v>
      </c>
      <c r="J86">
        <v>1</v>
      </c>
      <c r="K86" t="str">
        <f t="shared" si="1"/>
        <v>Affected</v>
      </c>
      <c r="L86" t="str" cm="1">
        <f t="array" ref="L86">_xlfn.IFS(B86&gt;60,"Older Adult(&gt;60)",B86&gt;35,"Middle-aged Adult(36-60)",B86&gt;18,"Young Adult(19-35)",B86&gt;12,"Adolescent(13-18)",B86&gt;0,"Child(&lt;13)")</f>
        <v>Young Adult(19-35)</v>
      </c>
    </row>
    <row r="87" spans="1:12">
      <c r="A87" t="s">
        <v>15</v>
      </c>
      <c r="B87">
        <v>38</v>
      </c>
      <c r="C87">
        <v>0</v>
      </c>
      <c r="D87">
        <v>0</v>
      </c>
      <c r="E87">
        <v>0</v>
      </c>
      <c r="F87" t="s">
        <v>36</v>
      </c>
      <c r="G87" t="s">
        <v>17</v>
      </c>
      <c r="H87" t="s">
        <v>13</v>
      </c>
      <c r="I87" t="s">
        <v>14</v>
      </c>
      <c r="J87">
        <v>0</v>
      </c>
      <c r="K87" t="str">
        <f t="shared" si="1"/>
        <v>Not Affected</v>
      </c>
      <c r="L87" t="str" cm="1">
        <f t="array" ref="L87">_xlfn.IFS(B87&gt;60,"Older Adult(&gt;60)",B87&gt;35,"Middle-aged Adult(36-60)",B87&gt;18,"Young Adult(19-35)",B87&gt;12,"Adolescent(13-18)",B87&gt;0,"Child(&lt;13)")</f>
        <v>Middle-aged Adult(36-60)</v>
      </c>
    </row>
    <row r="88" spans="1:12">
      <c r="A88" t="s">
        <v>10</v>
      </c>
      <c r="B88">
        <v>45</v>
      </c>
      <c r="C88">
        <v>1</v>
      </c>
      <c r="D88">
        <v>1</v>
      </c>
      <c r="E88">
        <v>0</v>
      </c>
      <c r="F88" t="s">
        <v>45</v>
      </c>
      <c r="G88" t="s">
        <v>12</v>
      </c>
      <c r="H88" t="s">
        <v>13</v>
      </c>
      <c r="I88" t="s">
        <v>14</v>
      </c>
      <c r="J88">
        <v>1</v>
      </c>
      <c r="K88" t="str">
        <f t="shared" si="1"/>
        <v>Affected</v>
      </c>
      <c r="L88" t="str" cm="1">
        <f t="array" ref="L88">_xlfn.IFS(B88&gt;60,"Older Adult(&gt;60)",B88&gt;35,"Middle-aged Adult(36-60)",B88&gt;18,"Young Adult(19-35)",B88&gt;12,"Adolescent(13-18)",B88&gt;0,"Child(&lt;13)")</f>
        <v>Middle-aged Adult(36-60)</v>
      </c>
    </row>
    <row r="89" spans="1:12">
      <c r="A89" t="s">
        <v>10</v>
      </c>
      <c r="B89">
        <v>54</v>
      </c>
      <c r="C89">
        <v>1</v>
      </c>
      <c r="D89">
        <v>1</v>
      </c>
      <c r="E89">
        <v>1</v>
      </c>
      <c r="F89" t="s">
        <v>44</v>
      </c>
      <c r="G89" t="s">
        <v>17</v>
      </c>
      <c r="H89" t="s">
        <v>13</v>
      </c>
      <c r="I89" t="s">
        <v>14</v>
      </c>
      <c r="J89">
        <v>1</v>
      </c>
      <c r="K89" t="str">
        <f t="shared" si="1"/>
        <v>Affected</v>
      </c>
      <c r="L89" t="str" cm="1">
        <f t="array" ref="L89">_xlfn.IFS(B89&gt;60,"Older Adult(&gt;60)",B89&gt;35,"Middle-aged Adult(36-60)",B89&gt;18,"Young Adult(19-35)",B89&gt;12,"Adolescent(13-18)",B89&gt;0,"Child(&lt;13)")</f>
        <v>Middle-aged Adult(36-60)</v>
      </c>
    </row>
    <row r="90" spans="1:12">
      <c r="A90" t="s">
        <v>10</v>
      </c>
      <c r="B90">
        <v>50</v>
      </c>
      <c r="C90">
        <v>1</v>
      </c>
      <c r="D90">
        <v>1</v>
      </c>
      <c r="E90">
        <v>1</v>
      </c>
      <c r="F90" t="s">
        <v>47</v>
      </c>
      <c r="G90" t="s">
        <v>12</v>
      </c>
      <c r="H90" t="s">
        <v>24</v>
      </c>
      <c r="I90" t="s">
        <v>14</v>
      </c>
      <c r="J90">
        <v>1</v>
      </c>
      <c r="K90" t="str">
        <f t="shared" si="1"/>
        <v>Affected</v>
      </c>
      <c r="L90" t="str" cm="1">
        <f t="array" ref="L90">_xlfn.IFS(B90&gt;60,"Older Adult(&gt;60)",B90&gt;35,"Middle-aged Adult(36-60)",B90&gt;18,"Young Adult(19-35)",B90&gt;12,"Adolescent(13-18)",B90&gt;0,"Child(&lt;13)")</f>
        <v>Middle-aged Adult(36-60)</v>
      </c>
    </row>
    <row r="91" spans="1:12">
      <c r="A91" t="s">
        <v>10</v>
      </c>
      <c r="B91">
        <v>39</v>
      </c>
      <c r="C91">
        <v>1</v>
      </c>
      <c r="D91">
        <v>1</v>
      </c>
      <c r="E91">
        <v>0</v>
      </c>
      <c r="F91" t="s">
        <v>40</v>
      </c>
      <c r="G91" t="s">
        <v>17</v>
      </c>
      <c r="H91" t="s">
        <v>13</v>
      </c>
      <c r="I91" t="s">
        <v>14</v>
      </c>
      <c r="J91">
        <v>1</v>
      </c>
      <c r="K91" t="str">
        <f t="shared" si="1"/>
        <v>Affected</v>
      </c>
      <c r="L91" t="str" cm="1">
        <f t="array" ref="L91">_xlfn.IFS(B91&gt;60,"Older Adult(&gt;60)",B91&gt;35,"Middle-aged Adult(36-60)",B91&gt;18,"Young Adult(19-35)",B91&gt;12,"Adolescent(13-18)",B91&gt;0,"Child(&lt;13)")</f>
        <v>Middle-aged Adult(36-60)</v>
      </c>
    </row>
    <row r="92" spans="1:12">
      <c r="A92" t="s">
        <v>10</v>
      </c>
      <c r="B92">
        <v>53</v>
      </c>
      <c r="C92">
        <v>0</v>
      </c>
      <c r="D92">
        <v>0</v>
      </c>
      <c r="E92">
        <v>0</v>
      </c>
      <c r="F92" t="s">
        <v>47</v>
      </c>
      <c r="G92" t="s">
        <v>12</v>
      </c>
      <c r="H92" t="s">
        <v>19</v>
      </c>
      <c r="I92" t="s">
        <v>14</v>
      </c>
      <c r="J92">
        <v>0</v>
      </c>
      <c r="K92" t="str">
        <f t="shared" si="1"/>
        <v>Not Affected</v>
      </c>
      <c r="L92" t="str" cm="1">
        <f t="array" ref="L92">_xlfn.IFS(B92&gt;60,"Older Adult(&gt;60)",B92&gt;35,"Middle-aged Adult(36-60)",B92&gt;18,"Young Adult(19-35)",B92&gt;12,"Adolescent(13-18)",B92&gt;0,"Child(&lt;13)")</f>
        <v>Middle-aged Adult(36-60)</v>
      </c>
    </row>
    <row r="93" spans="1:12">
      <c r="A93" t="s">
        <v>15</v>
      </c>
      <c r="B93">
        <v>64</v>
      </c>
      <c r="C93">
        <v>1</v>
      </c>
      <c r="D93">
        <v>1</v>
      </c>
      <c r="E93">
        <v>1</v>
      </c>
      <c r="F93" t="s">
        <v>11</v>
      </c>
      <c r="G93" t="s">
        <v>17</v>
      </c>
      <c r="H93" t="s">
        <v>13</v>
      </c>
      <c r="I93" t="s">
        <v>14</v>
      </c>
      <c r="J93">
        <v>1</v>
      </c>
      <c r="K93" t="str">
        <f t="shared" si="1"/>
        <v>Affected</v>
      </c>
      <c r="L93" t="str" cm="1">
        <f t="array" ref="L93">_xlfn.IFS(B93&gt;60,"Older Adult(&gt;60)",B93&gt;35,"Middle-aged Adult(36-60)",B93&gt;18,"Young Adult(19-35)",B93&gt;12,"Adolescent(13-18)",B93&gt;0,"Child(&lt;13)")</f>
        <v>Older Adult(&gt;60)</v>
      </c>
    </row>
    <row r="94" spans="1:12">
      <c r="A94" t="s">
        <v>10</v>
      </c>
      <c r="B94">
        <v>60</v>
      </c>
      <c r="C94">
        <v>1</v>
      </c>
      <c r="D94">
        <v>1</v>
      </c>
      <c r="E94">
        <v>1</v>
      </c>
      <c r="F94" t="s">
        <v>51</v>
      </c>
      <c r="G94" t="s">
        <v>12</v>
      </c>
      <c r="H94" t="s">
        <v>19</v>
      </c>
      <c r="I94" t="s">
        <v>14</v>
      </c>
      <c r="J94">
        <v>1</v>
      </c>
      <c r="K94" t="str">
        <f t="shared" si="1"/>
        <v>Affected</v>
      </c>
      <c r="L94" t="str" cm="1">
        <f t="array" ref="L94">_xlfn.IFS(B94&gt;60,"Older Adult(&gt;60)",B94&gt;35,"Middle-aged Adult(36-60)",B94&gt;18,"Young Adult(19-35)",B94&gt;12,"Adolescent(13-18)",B94&gt;0,"Child(&lt;13)")</f>
        <v>Middle-aged Adult(36-60)</v>
      </c>
    </row>
    <row r="95" spans="1:12">
      <c r="A95" t="s">
        <v>10</v>
      </c>
      <c r="B95">
        <v>45</v>
      </c>
      <c r="C95">
        <v>0</v>
      </c>
      <c r="D95">
        <v>0</v>
      </c>
      <c r="E95">
        <v>1</v>
      </c>
      <c r="F95" t="s">
        <v>41</v>
      </c>
      <c r="G95" t="s">
        <v>17</v>
      </c>
      <c r="H95" t="s">
        <v>19</v>
      </c>
      <c r="I95" t="s">
        <v>14</v>
      </c>
      <c r="J95">
        <v>0</v>
      </c>
      <c r="K95" t="str">
        <f t="shared" si="1"/>
        <v>Not Affected</v>
      </c>
      <c r="L95" t="str" cm="1">
        <f t="array" ref="L95">_xlfn.IFS(B95&gt;60,"Older Adult(&gt;60)",B95&gt;35,"Middle-aged Adult(36-60)",B95&gt;18,"Young Adult(19-35)",B95&gt;12,"Adolescent(13-18)",B95&gt;0,"Child(&lt;13)")</f>
        <v>Middle-aged Adult(36-60)</v>
      </c>
    </row>
    <row r="96" spans="1:12">
      <c r="A96" t="s">
        <v>15</v>
      </c>
      <c r="B96">
        <v>32</v>
      </c>
      <c r="C96">
        <v>0</v>
      </c>
      <c r="D96">
        <v>0</v>
      </c>
      <c r="E96">
        <v>0</v>
      </c>
      <c r="F96" t="s">
        <v>45</v>
      </c>
      <c r="G96" t="s">
        <v>12</v>
      </c>
      <c r="H96" t="s">
        <v>19</v>
      </c>
      <c r="I96" t="s">
        <v>14</v>
      </c>
      <c r="J96">
        <v>0</v>
      </c>
      <c r="K96" t="str">
        <f t="shared" si="1"/>
        <v>Not Affected</v>
      </c>
      <c r="L96" t="str" cm="1">
        <f t="array" ref="L96">_xlfn.IFS(B96&gt;60,"Older Adult(&gt;60)",B96&gt;35,"Middle-aged Adult(36-60)",B96&gt;18,"Young Adult(19-35)",B96&gt;12,"Adolescent(13-18)",B96&gt;0,"Child(&lt;13)")</f>
        <v>Young Adult(19-35)</v>
      </c>
    </row>
    <row r="97" spans="1:12">
      <c r="A97" t="s">
        <v>10</v>
      </c>
      <c r="B97">
        <v>26</v>
      </c>
      <c r="C97">
        <v>0</v>
      </c>
      <c r="D97">
        <v>0</v>
      </c>
      <c r="E97">
        <v>0</v>
      </c>
      <c r="F97" t="s">
        <v>40</v>
      </c>
      <c r="G97" t="s">
        <v>17</v>
      </c>
      <c r="H97" t="s">
        <v>13</v>
      </c>
      <c r="I97" t="s">
        <v>14</v>
      </c>
      <c r="J97">
        <v>0</v>
      </c>
      <c r="K97" t="str">
        <f t="shared" si="1"/>
        <v>Not Affected</v>
      </c>
      <c r="L97" t="str" cm="1">
        <f t="array" ref="L97">_xlfn.IFS(B97&gt;60,"Older Adult(&gt;60)",B97&gt;35,"Middle-aged Adult(36-60)",B97&gt;18,"Young Adult(19-35)",B97&gt;12,"Adolescent(13-18)",B97&gt;0,"Child(&lt;13)")</f>
        <v>Young Adult(19-35)</v>
      </c>
    </row>
    <row r="98" spans="1:12">
      <c r="A98" t="s">
        <v>10</v>
      </c>
      <c r="B98">
        <v>58</v>
      </c>
      <c r="C98">
        <v>1</v>
      </c>
      <c r="D98">
        <v>1</v>
      </c>
      <c r="E98">
        <v>1</v>
      </c>
      <c r="F98" t="s">
        <v>52</v>
      </c>
      <c r="G98" t="s">
        <v>12</v>
      </c>
      <c r="H98" t="s">
        <v>13</v>
      </c>
      <c r="I98" t="s">
        <v>14</v>
      </c>
      <c r="J98">
        <v>1</v>
      </c>
      <c r="K98" t="str">
        <f t="shared" si="1"/>
        <v>Affected</v>
      </c>
      <c r="L98" t="str" cm="1">
        <f t="array" ref="L98">_xlfn.IFS(B98&gt;60,"Older Adult(&gt;60)",B98&gt;35,"Middle-aged Adult(36-60)",B98&gt;18,"Young Adult(19-35)",B98&gt;12,"Adolescent(13-18)",B98&gt;0,"Child(&lt;13)")</f>
        <v>Middle-aged Adult(36-60)</v>
      </c>
    </row>
    <row r="99" spans="1:12">
      <c r="A99" t="s">
        <v>10</v>
      </c>
      <c r="B99">
        <v>23</v>
      </c>
      <c r="C99">
        <v>1</v>
      </c>
      <c r="D99">
        <v>1</v>
      </c>
      <c r="E99">
        <v>0</v>
      </c>
      <c r="F99" t="s">
        <v>38</v>
      </c>
      <c r="G99" t="s">
        <v>17</v>
      </c>
      <c r="H99" t="s">
        <v>24</v>
      </c>
      <c r="I99" t="s">
        <v>14</v>
      </c>
      <c r="J99">
        <v>1</v>
      </c>
      <c r="K99" t="str">
        <f t="shared" si="1"/>
        <v>Affected</v>
      </c>
      <c r="L99" t="str" cm="1">
        <f t="array" ref="L99">_xlfn.IFS(B99&gt;60,"Older Adult(&gt;60)",B99&gt;35,"Middle-aged Adult(36-60)",B99&gt;18,"Young Adult(19-35)",B99&gt;12,"Adolescent(13-18)",B99&gt;0,"Child(&lt;13)")</f>
        <v>Young Adult(19-35)</v>
      </c>
    </row>
    <row r="100" spans="1:12">
      <c r="A100" t="s">
        <v>15</v>
      </c>
      <c r="B100">
        <v>30</v>
      </c>
      <c r="C100">
        <v>0</v>
      </c>
      <c r="D100">
        <v>0</v>
      </c>
      <c r="E100">
        <v>1</v>
      </c>
      <c r="F100" t="s">
        <v>29</v>
      </c>
      <c r="G100" t="s">
        <v>12</v>
      </c>
      <c r="H100" t="s">
        <v>24</v>
      </c>
      <c r="I100" t="s">
        <v>14</v>
      </c>
      <c r="J100">
        <v>0</v>
      </c>
      <c r="K100" t="str">
        <f t="shared" si="1"/>
        <v>Not Affected</v>
      </c>
      <c r="L100" t="str" cm="1">
        <f t="array" ref="L100">_xlfn.IFS(B100&gt;60,"Older Adult(&gt;60)",B100&gt;35,"Middle-aged Adult(36-60)",B100&gt;18,"Young Adult(19-35)",B100&gt;12,"Adolescent(13-18)",B100&gt;0,"Child(&lt;13)")</f>
        <v>Young Adult(19-35)</v>
      </c>
    </row>
    <row r="101" spans="1:12">
      <c r="A101" t="s">
        <v>10</v>
      </c>
      <c r="B101">
        <v>62</v>
      </c>
      <c r="C101">
        <v>0</v>
      </c>
      <c r="D101">
        <v>0</v>
      </c>
      <c r="E101">
        <v>0</v>
      </c>
      <c r="F101" t="s">
        <v>52</v>
      </c>
      <c r="G101" t="s">
        <v>17</v>
      </c>
      <c r="H101" t="s">
        <v>24</v>
      </c>
      <c r="I101" t="s">
        <v>14</v>
      </c>
      <c r="J101">
        <v>0</v>
      </c>
      <c r="K101" t="str">
        <f t="shared" si="1"/>
        <v>Not Affected</v>
      </c>
      <c r="L101" t="str" cm="1">
        <f t="array" ref="L101">_xlfn.IFS(B101&gt;60,"Older Adult(&gt;60)",B101&gt;35,"Middle-aged Adult(36-60)",B101&gt;18,"Young Adult(19-35)",B101&gt;12,"Adolescent(13-18)",B101&gt;0,"Child(&lt;13)")</f>
        <v>Older Adult(&gt;60)</v>
      </c>
    </row>
    <row r="102" spans="1:12">
      <c r="A102" t="s">
        <v>10</v>
      </c>
      <c r="B102">
        <v>34</v>
      </c>
      <c r="C102">
        <v>0</v>
      </c>
      <c r="D102">
        <v>0</v>
      </c>
      <c r="E102">
        <v>0</v>
      </c>
      <c r="F102" t="s">
        <v>42</v>
      </c>
      <c r="G102" t="s">
        <v>12</v>
      </c>
      <c r="H102" t="s">
        <v>19</v>
      </c>
      <c r="I102" t="s">
        <v>14</v>
      </c>
      <c r="J102">
        <v>0</v>
      </c>
      <c r="K102" t="str">
        <f t="shared" si="1"/>
        <v>Not Affected</v>
      </c>
      <c r="L102" t="str" cm="1">
        <f t="array" ref="L102">_xlfn.IFS(B102&gt;60,"Older Adult(&gt;60)",B102&gt;35,"Middle-aged Adult(36-60)",B102&gt;18,"Young Adult(19-35)",B102&gt;12,"Adolescent(13-18)",B102&gt;0,"Child(&lt;13)")</f>
        <v>Young Adult(19-35)</v>
      </c>
    </row>
    <row r="103" spans="1:12">
      <c r="A103" t="s">
        <v>10</v>
      </c>
      <c r="B103">
        <v>58</v>
      </c>
      <c r="C103">
        <v>0</v>
      </c>
      <c r="D103">
        <v>0</v>
      </c>
      <c r="E103">
        <v>0</v>
      </c>
      <c r="F103" t="s">
        <v>22</v>
      </c>
      <c r="G103" t="s">
        <v>17</v>
      </c>
      <c r="H103" t="s">
        <v>19</v>
      </c>
      <c r="I103" t="s">
        <v>14</v>
      </c>
      <c r="J103">
        <v>0</v>
      </c>
      <c r="K103" t="str">
        <f t="shared" si="1"/>
        <v>Not Affected</v>
      </c>
      <c r="L103" t="str" cm="1">
        <f t="array" ref="L103">_xlfn.IFS(B103&gt;60,"Older Adult(&gt;60)",B103&gt;35,"Middle-aged Adult(36-60)",B103&gt;18,"Young Adult(19-35)",B103&gt;12,"Adolescent(13-18)",B103&gt;0,"Child(&lt;13)")</f>
        <v>Middle-aged Adult(36-60)</v>
      </c>
    </row>
    <row r="104" spans="1:12">
      <c r="A104" t="s">
        <v>10</v>
      </c>
      <c r="B104">
        <v>51</v>
      </c>
      <c r="C104">
        <v>0</v>
      </c>
      <c r="D104">
        <v>0</v>
      </c>
      <c r="E104">
        <v>1</v>
      </c>
      <c r="F104" t="s">
        <v>30</v>
      </c>
      <c r="G104" t="s">
        <v>12</v>
      </c>
      <c r="H104" t="s">
        <v>13</v>
      </c>
      <c r="I104" t="s">
        <v>14</v>
      </c>
      <c r="J104">
        <v>0</v>
      </c>
      <c r="K104" t="str">
        <f t="shared" si="1"/>
        <v>Not Affected</v>
      </c>
      <c r="L104" t="str" cm="1">
        <f t="array" ref="L104">_xlfn.IFS(B104&gt;60,"Older Adult(&gt;60)",B104&gt;35,"Middle-aged Adult(36-60)",B104&gt;18,"Young Adult(19-35)",B104&gt;12,"Adolescent(13-18)",B104&gt;0,"Child(&lt;13)")</f>
        <v>Middle-aged Adult(36-60)</v>
      </c>
    </row>
    <row r="105" spans="1:12">
      <c r="A105" t="s">
        <v>10</v>
      </c>
      <c r="B105">
        <v>50</v>
      </c>
      <c r="C105">
        <v>1</v>
      </c>
      <c r="D105">
        <v>1</v>
      </c>
      <c r="E105">
        <v>0</v>
      </c>
      <c r="F105" t="s">
        <v>39</v>
      </c>
      <c r="G105" t="s">
        <v>17</v>
      </c>
      <c r="H105" t="s">
        <v>24</v>
      </c>
      <c r="I105" t="s">
        <v>14</v>
      </c>
      <c r="J105">
        <v>1</v>
      </c>
      <c r="K105" t="str">
        <f t="shared" si="1"/>
        <v>Affected</v>
      </c>
      <c r="L105" t="str" cm="1">
        <f t="array" ref="L105">_xlfn.IFS(B105&gt;60,"Older Adult(&gt;60)",B105&gt;35,"Middle-aged Adult(36-60)",B105&gt;18,"Young Adult(19-35)",B105&gt;12,"Adolescent(13-18)",B105&gt;0,"Child(&lt;13)")</f>
        <v>Middle-aged Adult(36-60)</v>
      </c>
    </row>
    <row r="106" spans="1:12">
      <c r="A106" t="s">
        <v>10</v>
      </c>
      <c r="B106">
        <v>9</v>
      </c>
      <c r="C106">
        <v>0</v>
      </c>
      <c r="D106">
        <v>0</v>
      </c>
      <c r="E106">
        <v>0</v>
      </c>
      <c r="F106" t="s">
        <v>16</v>
      </c>
      <c r="G106" t="s">
        <v>12</v>
      </c>
      <c r="H106" t="s">
        <v>24</v>
      </c>
      <c r="I106" t="s">
        <v>14</v>
      </c>
      <c r="J106">
        <v>0</v>
      </c>
      <c r="K106" t="str">
        <f t="shared" si="1"/>
        <v>Not Affected</v>
      </c>
      <c r="L106" t="str" cm="1">
        <f t="array" ref="L106">_xlfn.IFS(B106&gt;60,"Older Adult(&gt;60)",B106&gt;35,"Middle-aged Adult(36-60)",B106&gt;18,"Young Adult(19-35)",B106&gt;12,"Adolescent(13-18)",B106&gt;0,"Child(&lt;13)")</f>
        <v>Child(&lt;13)</v>
      </c>
    </row>
    <row r="107" spans="1:12">
      <c r="A107" t="s">
        <v>10</v>
      </c>
      <c r="B107">
        <v>8</v>
      </c>
      <c r="C107">
        <v>0</v>
      </c>
      <c r="D107">
        <v>0</v>
      </c>
      <c r="E107">
        <v>1</v>
      </c>
      <c r="F107" t="s">
        <v>49</v>
      </c>
      <c r="G107" t="s">
        <v>17</v>
      </c>
      <c r="H107" t="s">
        <v>19</v>
      </c>
      <c r="I107" t="s">
        <v>14</v>
      </c>
      <c r="J107">
        <v>0</v>
      </c>
      <c r="K107" t="str">
        <f t="shared" si="1"/>
        <v>Not Affected</v>
      </c>
      <c r="L107" t="str" cm="1">
        <f t="array" ref="L107">_xlfn.IFS(B107&gt;60,"Older Adult(&gt;60)",B107&gt;35,"Middle-aged Adult(36-60)",B107&gt;18,"Young Adult(19-35)",B107&gt;12,"Adolescent(13-18)",B107&gt;0,"Child(&lt;13)")</f>
        <v>Child(&lt;13)</v>
      </c>
    </row>
    <row r="108" spans="1:12">
      <c r="A108" t="s">
        <v>15</v>
      </c>
      <c r="B108">
        <v>45</v>
      </c>
      <c r="C108">
        <v>1</v>
      </c>
      <c r="D108">
        <v>1</v>
      </c>
      <c r="E108">
        <v>1</v>
      </c>
      <c r="F108" t="s">
        <v>33</v>
      </c>
      <c r="G108" t="s">
        <v>12</v>
      </c>
      <c r="H108" t="s">
        <v>13</v>
      </c>
      <c r="I108" t="s">
        <v>14</v>
      </c>
      <c r="J108">
        <v>1</v>
      </c>
      <c r="K108" t="str">
        <f t="shared" si="1"/>
        <v>Affected</v>
      </c>
      <c r="L108" t="str" cm="1">
        <f t="array" ref="L108">_xlfn.IFS(B108&gt;60,"Older Adult(&gt;60)",B108&gt;35,"Middle-aged Adult(36-60)",B108&gt;18,"Young Adult(19-35)",B108&gt;12,"Adolescent(13-18)",B108&gt;0,"Child(&lt;13)")</f>
        <v>Middle-aged Adult(36-60)</v>
      </c>
    </row>
    <row r="109" spans="1:12">
      <c r="A109" t="s">
        <v>15</v>
      </c>
      <c r="B109">
        <v>27</v>
      </c>
      <c r="C109">
        <v>1</v>
      </c>
      <c r="D109">
        <v>1</v>
      </c>
      <c r="E109">
        <v>1</v>
      </c>
      <c r="F109" t="s">
        <v>26</v>
      </c>
      <c r="G109" t="s">
        <v>17</v>
      </c>
      <c r="H109" t="s">
        <v>19</v>
      </c>
      <c r="I109" t="s">
        <v>14</v>
      </c>
      <c r="J109">
        <v>1</v>
      </c>
      <c r="K109" t="str">
        <f t="shared" si="1"/>
        <v>Affected</v>
      </c>
      <c r="L109" t="str" cm="1">
        <f t="array" ref="L109">_xlfn.IFS(B109&gt;60,"Older Adult(&gt;60)",B109&gt;35,"Middle-aged Adult(36-60)",B109&gt;18,"Young Adult(19-35)",B109&gt;12,"Adolescent(13-18)",B109&gt;0,"Child(&lt;13)")</f>
        <v>Young Adult(19-35)</v>
      </c>
    </row>
    <row r="110" spans="1:12">
      <c r="A110" t="s">
        <v>10</v>
      </c>
      <c r="B110">
        <v>31</v>
      </c>
      <c r="C110">
        <v>1</v>
      </c>
      <c r="D110">
        <v>1</v>
      </c>
      <c r="E110">
        <v>1</v>
      </c>
      <c r="F110" t="s">
        <v>44</v>
      </c>
      <c r="G110" t="s">
        <v>12</v>
      </c>
      <c r="H110" t="s">
        <v>13</v>
      </c>
      <c r="I110" t="s">
        <v>14</v>
      </c>
      <c r="J110">
        <v>1</v>
      </c>
      <c r="K110" t="str">
        <f t="shared" si="1"/>
        <v>Affected</v>
      </c>
      <c r="L110" t="str" cm="1">
        <f t="array" ref="L110">_xlfn.IFS(B110&gt;60,"Older Adult(&gt;60)",B110&gt;35,"Middle-aged Adult(36-60)",B110&gt;18,"Young Adult(19-35)",B110&gt;12,"Adolescent(13-18)",B110&gt;0,"Child(&lt;13)")</f>
        <v>Young Adult(19-35)</v>
      </c>
    </row>
    <row r="111" spans="1:12">
      <c r="A111" t="s">
        <v>10</v>
      </c>
      <c r="B111">
        <v>44</v>
      </c>
      <c r="C111">
        <v>0</v>
      </c>
      <c r="D111">
        <v>0</v>
      </c>
      <c r="E111">
        <v>0</v>
      </c>
      <c r="F111" t="s">
        <v>21</v>
      </c>
      <c r="G111" t="s">
        <v>17</v>
      </c>
      <c r="H111" t="s">
        <v>19</v>
      </c>
      <c r="I111" t="s">
        <v>14</v>
      </c>
      <c r="J111">
        <v>0</v>
      </c>
      <c r="K111" t="str">
        <f t="shared" si="1"/>
        <v>Not Affected</v>
      </c>
      <c r="L111" t="str" cm="1">
        <f t="array" ref="L111">_xlfn.IFS(B111&gt;60,"Older Adult(&gt;60)",B111&gt;35,"Middle-aged Adult(36-60)",B111&gt;18,"Young Adult(19-35)",B111&gt;12,"Adolescent(13-18)",B111&gt;0,"Child(&lt;13)")</f>
        <v>Middle-aged Adult(36-60)</v>
      </c>
    </row>
    <row r="112" spans="1:12">
      <c r="A112" t="s">
        <v>10</v>
      </c>
      <c r="B112">
        <v>39</v>
      </c>
      <c r="C112">
        <v>1</v>
      </c>
      <c r="D112">
        <v>1</v>
      </c>
      <c r="E112">
        <v>0</v>
      </c>
      <c r="F112" t="s">
        <v>48</v>
      </c>
      <c r="G112" t="s">
        <v>12</v>
      </c>
      <c r="H112" t="s">
        <v>24</v>
      </c>
      <c r="I112" t="s">
        <v>14</v>
      </c>
      <c r="J112">
        <v>1</v>
      </c>
      <c r="K112" t="str">
        <f t="shared" si="1"/>
        <v>Affected</v>
      </c>
      <c r="L112" t="str" cm="1">
        <f t="array" ref="L112">_xlfn.IFS(B112&gt;60,"Older Adult(&gt;60)",B112&gt;35,"Middle-aged Adult(36-60)",B112&gt;18,"Young Adult(19-35)",B112&gt;12,"Adolescent(13-18)",B112&gt;0,"Child(&lt;13)")</f>
        <v>Middle-aged Adult(36-60)</v>
      </c>
    </row>
    <row r="113" spans="1:12">
      <c r="A113" t="s">
        <v>10</v>
      </c>
      <c r="B113">
        <v>9</v>
      </c>
      <c r="C113">
        <v>1</v>
      </c>
      <c r="D113">
        <v>1</v>
      </c>
      <c r="E113">
        <v>0</v>
      </c>
      <c r="F113" t="s">
        <v>53</v>
      </c>
      <c r="G113" t="s">
        <v>17</v>
      </c>
      <c r="H113" t="s">
        <v>24</v>
      </c>
      <c r="I113" t="s">
        <v>14</v>
      </c>
      <c r="J113">
        <v>1</v>
      </c>
      <c r="K113" t="str">
        <f t="shared" si="1"/>
        <v>Affected</v>
      </c>
      <c r="L113" t="str" cm="1">
        <f t="array" ref="L113">_xlfn.IFS(B113&gt;60,"Older Adult(&gt;60)",B113&gt;35,"Middle-aged Adult(36-60)",B113&gt;18,"Young Adult(19-35)",B113&gt;12,"Adolescent(13-18)",B113&gt;0,"Child(&lt;13)")</f>
        <v>Child(&lt;13)</v>
      </c>
    </row>
    <row r="114" spans="1:12">
      <c r="A114" t="s">
        <v>15</v>
      </c>
      <c r="B114">
        <v>51</v>
      </c>
      <c r="C114">
        <v>1</v>
      </c>
      <c r="D114">
        <v>1</v>
      </c>
      <c r="E114">
        <v>0</v>
      </c>
      <c r="F114" t="s">
        <v>38</v>
      </c>
      <c r="G114" t="s">
        <v>12</v>
      </c>
      <c r="H114" t="s">
        <v>19</v>
      </c>
      <c r="I114" t="s">
        <v>14</v>
      </c>
      <c r="J114">
        <v>1</v>
      </c>
      <c r="K114" t="str">
        <f t="shared" si="1"/>
        <v>Affected</v>
      </c>
      <c r="L114" t="str" cm="1">
        <f t="array" ref="L114">_xlfn.IFS(B114&gt;60,"Older Adult(&gt;60)",B114&gt;35,"Middle-aged Adult(36-60)",B114&gt;18,"Young Adult(19-35)",B114&gt;12,"Adolescent(13-18)",B114&gt;0,"Child(&lt;13)")</f>
        <v>Middle-aged Adult(36-60)</v>
      </c>
    </row>
    <row r="115" spans="1:12">
      <c r="A115" t="s">
        <v>15</v>
      </c>
      <c r="B115">
        <v>24</v>
      </c>
      <c r="C115">
        <v>0</v>
      </c>
      <c r="D115">
        <v>0</v>
      </c>
      <c r="E115">
        <v>0</v>
      </c>
      <c r="F115" t="s">
        <v>21</v>
      </c>
      <c r="G115" t="s">
        <v>17</v>
      </c>
      <c r="H115" t="s">
        <v>19</v>
      </c>
      <c r="I115" t="s">
        <v>14</v>
      </c>
      <c r="J115">
        <v>0</v>
      </c>
      <c r="K115" t="str">
        <f t="shared" si="1"/>
        <v>Not Affected</v>
      </c>
      <c r="L115" t="str" cm="1">
        <f t="array" ref="L115">_xlfn.IFS(B115&gt;60,"Older Adult(&gt;60)",B115&gt;35,"Middle-aged Adult(36-60)",B115&gt;18,"Young Adult(19-35)",B115&gt;12,"Adolescent(13-18)",B115&gt;0,"Child(&lt;13)")</f>
        <v>Young Adult(19-35)</v>
      </c>
    </row>
    <row r="116" spans="1:12">
      <c r="A116" t="s">
        <v>15</v>
      </c>
      <c r="B116">
        <v>46</v>
      </c>
      <c r="C116">
        <v>1</v>
      </c>
      <c r="D116">
        <v>1</v>
      </c>
      <c r="E116">
        <v>0</v>
      </c>
      <c r="F116" t="s">
        <v>39</v>
      </c>
      <c r="G116" t="s">
        <v>12</v>
      </c>
      <c r="H116" t="s">
        <v>24</v>
      </c>
      <c r="I116" t="s">
        <v>14</v>
      </c>
      <c r="J116">
        <v>1</v>
      </c>
      <c r="K116" t="str">
        <f t="shared" si="1"/>
        <v>Affected</v>
      </c>
      <c r="L116" t="str" cm="1">
        <f t="array" ref="L116">_xlfn.IFS(B116&gt;60,"Older Adult(&gt;60)",B116&gt;35,"Middle-aged Adult(36-60)",B116&gt;18,"Young Adult(19-35)",B116&gt;12,"Adolescent(13-18)",B116&gt;0,"Child(&lt;13)")</f>
        <v>Middle-aged Adult(36-60)</v>
      </c>
    </row>
    <row r="117" spans="1:12">
      <c r="A117" t="s">
        <v>15</v>
      </c>
      <c r="B117">
        <v>39</v>
      </c>
      <c r="C117">
        <v>1</v>
      </c>
      <c r="D117">
        <v>1</v>
      </c>
      <c r="E117">
        <v>0</v>
      </c>
      <c r="F117" t="s">
        <v>18</v>
      </c>
      <c r="G117" t="s">
        <v>17</v>
      </c>
      <c r="H117" t="s">
        <v>13</v>
      </c>
      <c r="I117" t="s">
        <v>14</v>
      </c>
      <c r="J117">
        <v>1</v>
      </c>
      <c r="K117" t="str">
        <f t="shared" si="1"/>
        <v>Affected</v>
      </c>
      <c r="L117" t="str" cm="1">
        <f t="array" ref="L117">_xlfn.IFS(B117&gt;60,"Older Adult(&gt;60)",B117&gt;35,"Middle-aged Adult(36-60)",B117&gt;18,"Young Adult(19-35)",B117&gt;12,"Adolescent(13-18)",B117&gt;0,"Child(&lt;13)")</f>
        <v>Middle-aged Adult(36-60)</v>
      </c>
    </row>
    <row r="118" spans="1:12">
      <c r="A118" t="s">
        <v>10</v>
      </c>
      <c r="B118">
        <v>14</v>
      </c>
      <c r="C118">
        <v>1</v>
      </c>
      <c r="D118">
        <v>1</v>
      </c>
      <c r="E118">
        <v>0</v>
      </c>
      <c r="F118" t="s">
        <v>35</v>
      </c>
      <c r="G118" t="s">
        <v>12</v>
      </c>
      <c r="H118" t="s">
        <v>13</v>
      </c>
      <c r="I118" t="s">
        <v>14</v>
      </c>
      <c r="J118">
        <v>1</v>
      </c>
      <c r="K118" t="str">
        <f t="shared" si="1"/>
        <v>Affected</v>
      </c>
      <c r="L118" t="str" cm="1">
        <f t="array" ref="L118">_xlfn.IFS(B118&gt;60,"Older Adult(&gt;60)",B118&gt;35,"Middle-aged Adult(36-60)",B118&gt;18,"Young Adult(19-35)",B118&gt;12,"Adolescent(13-18)",B118&gt;0,"Child(&lt;13)")</f>
        <v>Adolescent(13-18)</v>
      </c>
    </row>
    <row r="119" spans="1:12">
      <c r="A119" t="s">
        <v>15</v>
      </c>
      <c r="B119">
        <v>42</v>
      </c>
      <c r="C119">
        <v>1</v>
      </c>
      <c r="D119">
        <v>1</v>
      </c>
      <c r="E119">
        <v>0</v>
      </c>
      <c r="F119" t="s">
        <v>53</v>
      </c>
      <c r="G119" t="s">
        <v>17</v>
      </c>
      <c r="H119" t="s">
        <v>19</v>
      </c>
      <c r="I119" t="s">
        <v>14</v>
      </c>
      <c r="J119">
        <v>1</v>
      </c>
      <c r="K119" t="str">
        <f t="shared" si="1"/>
        <v>Affected</v>
      </c>
      <c r="L119" t="str" cm="1">
        <f t="array" ref="L119">_xlfn.IFS(B119&gt;60,"Older Adult(&gt;60)",B119&gt;35,"Middle-aged Adult(36-60)",B119&gt;18,"Young Adult(19-35)",B119&gt;12,"Adolescent(13-18)",B119&gt;0,"Child(&lt;13)")</f>
        <v>Middle-aged Adult(36-60)</v>
      </c>
    </row>
    <row r="120" spans="1:12">
      <c r="A120" t="s">
        <v>15</v>
      </c>
      <c r="B120">
        <v>37</v>
      </c>
      <c r="C120">
        <v>1</v>
      </c>
      <c r="D120">
        <v>1</v>
      </c>
      <c r="E120">
        <v>0</v>
      </c>
      <c r="F120" t="s">
        <v>33</v>
      </c>
      <c r="G120" t="s">
        <v>12</v>
      </c>
      <c r="H120" t="s">
        <v>24</v>
      </c>
      <c r="I120" t="s">
        <v>14</v>
      </c>
      <c r="J120">
        <v>1</v>
      </c>
      <c r="K120" t="str">
        <f t="shared" si="1"/>
        <v>Affected</v>
      </c>
      <c r="L120" t="str" cm="1">
        <f t="array" ref="L120">_xlfn.IFS(B120&gt;60,"Older Adult(&gt;60)",B120&gt;35,"Middle-aged Adult(36-60)",B120&gt;18,"Young Adult(19-35)",B120&gt;12,"Adolescent(13-18)",B120&gt;0,"Child(&lt;13)")</f>
        <v>Middle-aged Adult(36-60)</v>
      </c>
    </row>
    <row r="121" spans="1:12">
      <c r="A121" t="s">
        <v>15</v>
      </c>
      <c r="B121">
        <v>31</v>
      </c>
      <c r="C121">
        <v>1</v>
      </c>
      <c r="D121">
        <v>1</v>
      </c>
      <c r="E121">
        <v>0</v>
      </c>
      <c r="F121" t="s">
        <v>34</v>
      </c>
      <c r="G121" t="s">
        <v>17</v>
      </c>
      <c r="H121" t="s">
        <v>13</v>
      </c>
      <c r="I121" t="s">
        <v>14</v>
      </c>
      <c r="J121">
        <v>1</v>
      </c>
      <c r="K121" t="str">
        <f t="shared" si="1"/>
        <v>Affected</v>
      </c>
      <c r="L121" t="str" cm="1">
        <f t="array" ref="L121">_xlfn.IFS(B121&gt;60,"Older Adult(&gt;60)",B121&gt;35,"Middle-aged Adult(36-60)",B121&gt;18,"Young Adult(19-35)",B121&gt;12,"Adolescent(13-18)",B121&gt;0,"Child(&lt;13)")</f>
        <v>Young Adult(19-35)</v>
      </c>
    </row>
    <row r="122" spans="1:12">
      <c r="A122" t="s">
        <v>15</v>
      </c>
      <c r="B122">
        <v>57</v>
      </c>
      <c r="C122">
        <v>0</v>
      </c>
      <c r="D122">
        <v>0</v>
      </c>
      <c r="E122">
        <v>0</v>
      </c>
      <c r="F122" t="s">
        <v>32</v>
      </c>
      <c r="G122" t="s">
        <v>12</v>
      </c>
      <c r="H122" t="s">
        <v>24</v>
      </c>
      <c r="I122" t="s">
        <v>14</v>
      </c>
      <c r="J122">
        <v>0</v>
      </c>
      <c r="K122" t="str">
        <f t="shared" si="1"/>
        <v>Not Affected</v>
      </c>
      <c r="L122" t="str" cm="1">
        <f t="array" ref="L122">_xlfn.IFS(B122&gt;60,"Older Adult(&gt;60)",B122&gt;35,"Middle-aged Adult(36-60)",B122&gt;18,"Young Adult(19-35)",B122&gt;12,"Adolescent(13-18)",B122&gt;0,"Child(&lt;13)")</f>
        <v>Middle-aged Adult(36-60)</v>
      </c>
    </row>
    <row r="123" spans="1:12">
      <c r="A123" t="s">
        <v>10</v>
      </c>
      <c r="B123">
        <v>30</v>
      </c>
      <c r="C123">
        <v>0</v>
      </c>
      <c r="D123">
        <v>0</v>
      </c>
      <c r="E123">
        <v>1</v>
      </c>
      <c r="F123" t="s">
        <v>46</v>
      </c>
      <c r="G123" t="s">
        <v>17</v>
      </c>
      <c r="H123" t="s">
        <v>13</v>
      </c>
      <c r="I123" t="s">
        <v>14</v>
      </c>
      <c r="J123">
        <v>0</v>
      </c>
      <c r="K123" t="str">
        <f t="shared" si="1"/>
        <v>Not Affected</v>
      </c>
      <c r="L123" t="str" cm="1">
        <f t="array" ref="L123">_xlfn.IFS(B123&gt;60,"Older Adult(&gt;60)",B123&gt;35,"Middle-aged Adult(36-60)",B123&gt;18,"Young Adult(19-35)",B123&gt;12,"Adolescent(13-18)",B123&gt;0,"Child(&lt;13)")</f>
        <v>Young Adult(19-35)</v>
      </c>
    </row>
    <row r="124" spans="1:12">
      <c r="A124" t="s">
        <v>10</v>
      </c>
      <c r="B124">
        <v>57</v>
      </c>
      <c r="C124">
        <v>1</v>
      </c>
      <c r="D124">
        <v>1</v>
      </c>
      <c r="E124">
        <v>1</v>
      </c>
      <c r="F124" t="s">
        <v>20</v>
      </c>
      <c r="G124" t="s">
        <v>12</v>
      </c>
      <c r="H124" t="s">
        <v>24</v>
      </c>
      <c r="I124" t="s">
        <v>14</v>
      </c>
      <c r="J124">
        <v>1</v>
      </c>
      <c r="K124" t="str">
        <f t="shared" si="1"/>
        <v>Affected</v>
      </c>
      <c r="L124" t="str" cm="1">
        <f t="array" ref="L124">_xlfn.IFS(B124&gt;60,"Older Adult(&gt;60)",B124&gt;35,"Middle-aged Adult(36-60)",B124&gt;18,"Young Adult(19-35)",B124&gt;12,"Adolescent(13-18)",B124&gt;0,"Child(&lt;13)")</f>
        <v>Middle-aged Adult(36-60)</v>
      </c>
    </row>
    <row r="125" spans="1:12">
      <c r="A125" t="s">
        <v>15</v>
      </c>
      <c r="B125">
        <v>17</v>
      </c>
      <c r="C125">
        <v>0</v>
      </c>
      <c r="D125">
        <v>0</v>
      </c>
      <c r="E125">
        <v>0</v>
      </c>
      <c r="F125" t="s">
        <v>28</v>
      </c>
      <c r="G125" t="s">
        <v>17</v>
      </c>
      <c r="H125" t="s">
        <v>19</v>
      </c>
      <c r="I125" t="s">
        <v>14</v>
      </c>
      <c r="J125">
        <v>0</v>
      </c>
      <c r="K125" t="str">
        <f t="shared" si="1"/>
        <v>Not Affected</v>
      </c>
      <c r="L125" t="str" cm="1">
        <f t="array" ref="L125">_xlfn.IFS(B125&gt;60,"Older Adult(&gt;60)",B125&gt;35,"Middle-aged Adult(36-60)",B125&gt;18,"Young Adult(19-35)",B125&gt;12,"Adolescent(13-18)",B125&gt;0,"Child(&lt;13)")</f>
        <v>Adolescent(13-18)</v>
      </c>
    </row>
    <row r="126" spans="1:12">
      <c r="A126" t="s">
        <v>10</v>
      </c>
      <c r="B126">
        <v>56</v>
      </c>
      <c r="C126">
        <v>0</v>
      </c>
      <c r="D126">
        <v>0</v>
      </c>
      <c r="E126">
        <v>0</v>
      </c>
      <c r="F126" t="s">
        <v>50</v>
      </c>
      <c r="G126" t="s">
        <v>12</v>
      </c>
      <c r="H126" t="s">
        <v>24</v>
      </c>
      <c r="I126" t="s">
        <v>14</v>
      </c>
      <c r="J126">
        <v>0</v>
      </c>
      <c r="K126" t="str">
        <f t="shared" si="1"/>
        <v>Not Affected</v>
      </c>
      <c r="L126" t="str" cm="1">
        <f t="array" ref="L126">_xlfn.IFS(B126&gt;60,"Older Adult(&gt;60)",B126&gt;35,"Middle-aged Adult(36-60)",B126&gt;18,"Young Adult(19-35)",B126&gt;12,"Adolescent(13-18)",B126&gt;0,"Child(&lt;13)")</f>
        <v>Middle-aged Adult(36-60)</v>
      </c>
    </row>
    <row r="127" spans="1:12">
      <c r="A127" t="s">
        <v>15</v>
      </c>
      <c r="B127">
        <v>54</v>
      </c>
      <c r="C127">
        <v>0</v>
      </c>
      <c r="D127">
        <v>0</v>
      </c>
      <c r="E127">
        <v>0</v>
      </c>
      <c r="F127" t="s">
        <v>37</v>
      </c>
      <c r="G127" t="s">
        <v>17</v>
      </c>
      <c r="H127" t="s">
        <v>19</v>
      </c>
      <c r="I127" t="s">
        <v>14</v>
      </c>
      <c r="J127">
        <v>0</v>
      </c>
      <c r="K127" t="str">
        <f t="shared" si="1"/>
        <v>Not Affected</v>
      </c>
      <c r="L127" t="str" cm="1">
        <f t="array" ref="L127">_xlfn.IFS(B127&gt;60,"Older Adult(&gt;60)",B127&gt;35,"Middle-aged Adult(36-60)",B127&gt;18,"Young Adult(19-35)",B127&gt;12,"Adolescent(13-18)",B127&gt;0,"Child(&lt;13)")</f>
        <v>Middle-aged Adult(36-60)</v>
      </c>
    </row>
    <row r="128" spans="1:12">
      <c r="A128" t="s">
        <v>10</v>
      </c>
      <c r="B128">
        <v>22</v>
      </c>
      <c r="C128">
        <v>0</v>
      </c>
      <c r="D128">
        <v>0</v>
      </c>
      <c r="E128">
        <v>1</v>
      </c>
      <c r="F128" t="s">
        <v>42</v>
      </c>
      <c r="G128" t="s">
        <v>12</v>
      </c>
      <c r="H128" t="s">
        <v>19</v>
      </c>
      <c r="I128" t="s">
        <v>14</v>
      </c>
      <c r="J128">
        <v>0</v>
      </c>
      <c r="K128" t="str">
        <f t="shared" si="1"/>
        <v>Not Affected</v>
      </c>
      <c r="L128" t="str" cm="1">
        <f t="array" ref="L128">_xlfn.IFS(B128&gt;60,"Older Adult(&gt;60)",B128&gt;35,"Middle-aged Adult(36-60)",B128&gt;18,"Young Adult(19-35)",B128&gt;12,"Adolescent(13-18)",B128&gt;0,"Child(&lt;13)")</f>
        <v>Young Adult(19-35)</v>
      </c>
    </row>
    <row r="129" spans="1:12">
      <c r="A129" t="s">
        <v>10</v>
      </c>
      <c r="B129">
        <v>63</v>
      </c>
      <c r="C129">
        <v>1</v>
      </c>
      <c r="D129">
        <v>1</v>
      </c>
      <c r="E129">
        <v>1</v>
      </c>
      <c r="F129" t="s">
        <v>44</v>
      </c>
      <c r="G129" t="s">
        <v>17</v>
      </c>
      <c r="H129" t="s">
        <v>19</v>
      </c>
      <c r="I129" t="s">
        <v>14</v>
      </c>
      <c r="J129">
        <v>1</v>
      </c>
      <c r="K129" t="str">
        <f t="shared" si="1"/>
        <v>Affected</v>
      </c>
      <c r="L129" t="str" cm="1">
        <f t="array" ref="L129">_xlfn.IFS(B129&gt;60,"Older Adult(&gt;60)",B129&gt;35,"Middle-aged Adult(36-60)",B129&gt;18,"Young Adult(19-35)",B129&gt;12,"Adolescent(13-18)",B129&gt;0,"Child(&lt;13)")</f>
        <v>Older Adult(&gt;60)</v>
      </c>
    </row>
    <row r="130" spans="1:12">
      <c r="A130" t="s">
        <v>15</v>
      </c>
      <c r="B130">
        <v>54</v>
      </c>
      <c r="C130">
        <v>0</v>
      </c>
      <c r="D130">
        <v>0</v>
      </c>
      <c r="E130">
        <v>1</v>
      </c>
      <c r="F130" t="s">
        <v>11</v>
      </c>
      <c r="G130" t="s">
        <v>12</v>
      </c>
      <c r="H130" t="s">
        <v>24</v>
      </c>
      <c r="I130" t="s">
        <v>14</v>
      </c>
      <c r="J130">
        <v>0</v>
      </c>
      <c r="K130" t="str">
        <f t="shared" si="1"/>
        <v>Not Affected</v>
      </c>
      <c r="L130" t="str" cm="1">
        <f t="array" ref="L130">_xlfn.IFS(B130&gt;60,"Older Adult(&gt;60)",B130&gt;35,"Middle-aged Adult(36-60)",B130&gt;18,"Young Adult(19-35)",B130&gt;12,"Adolescent(13-18)",B130&gt;0,"Child(&lt;13)")</f>
        <v>Middle-aged Adult(36-60)</v>
      </c>
    </row>
    <row r="131" spans="1:12">
      <c r="A131" t="s">
        <v>15</v>
      </c>
      <c r="B131">
        <v>61</v>
      </c>
      <c r="C131">
        <v>1</v>
      </c>
      <c r="D131">
        <v>1</v>
      </c>
      <c r="E131">
        <v>1</v>
      </c>
      <c r="F131" t="s">
        <v>36</v>
      </c>
      <c r="G131" t="s">
        <v>17</v>
      </c>
      <c r="H131" t="s">
        <v>24</v>
      </c>
      <c r="I131" t="s">
        <v>14</v>
      </c>
      <c r="J131">
        <v>1</v>
      </c>
      <c r="K131" t="str">
        <f t="shared" ref="K131:K194" si="2">IF(J131=0, "Not Affected", "Affected")</f>
        <v>Affected</v>
      </c>
      <c r="L131" t="str" cm="1">
        <f t="array" ref="L131">_xlfn.IFS(B131&gt;60,"Older Adult(&gt;60)",B131&gt;35,"Middle-aged Adult(36-60)",B131&gt;18,"Young Adult(19-35)",B131&gt;12,"Adolescent(13-18)",B131&gt;0,"Child(&lt;13)")</f>
        <v>Older Adult(&gt;60)</v>
      </c>
    </row>
    <row r="132" spans="1:12">
      <c r="A132" t="s">
        <v>10</v>
      </c>
      <c r="B132">
        <v>47</v>
      </c>
      <c r="C132">
        <v>1</v>
      </c>
      <c r="D132">
        <v>1</v>
      </c>
      <c r="E132">
        <v>1</v>
      </c>
      <c r="F132" t="s">
        <v>33</v>
      </c>
      <c r="G132" t="s">
        <v>12</v>
      </c>
      <c r="H132" t="s">
        <v>24</v>
      </c>
      <c r="I132" t="s">
        <v>14</v>
      </c>
      <c r="J132">
        <v>1</v>
      </c>
      <c r="K132" t="str">
        <f t="shared" si="2"/>
        <v>Affected</v>
      </c>
      <c r="L132" t="str" cm="1">
        <f t="array" ref="L132">_xlfn.IFS(B132&gt;60,"Older Adult(&gt;60)",B132&gt;35,"Middle-aged Adult(36-60)",B132&gt;18,"Young Adult(19-35)",B132&gt;12,"Adolescent(13-18)",B132&gt;0,"Child(&lt;13)")</f>
        <v>Middle-aged Adult(36-60)</v>
      </c>
    </row>
    <row r="133" spans="1:12">
      <c r="A133" t="s">
        <v>15</v>
      </c>
      <c r="B133">
        <v>18</v>
      </c>
      <c r="C133">
        <v>0</v>
      </c>
      <c r="D133">
        <v>0</v>
      </c>
      <c r="E133">
        <v>1</v>
      </c>
      <c r="F133" t="s">
        <v>20</v>
      </c>
      <c r="G133" t="s">
        <v>17</v>
      </c>
      <c r="H133" t="s">
        <v>19</v>
      </c>
      <c r="I133" t="s">
        <v>14</v>
      </c>
      <c r="J133">
        <v>0</v>
      </c>
      <c r="K133" t="str">
        <f t="shared" si="2"/>
        <v>Not Affected</v>
      </c>
      <c r="L133" t="str" cm="1">
        <f t="array" ref="L133">_xlfn.IFS(B133&gt;60,"Older Adult(&gt;60)",B133&gt;35,"Middle-aged Adult(36-60)",B133&gt;18,"Young Adult(19-35)",B133&gt;12,"Adolescent(13-18)",B133&gt;0,"Child(&lt;13)")</f>
        <v>Adolescent(13-18)</v>
      </c>
    </row>
    <row r="134" spans="1:12">
      <c r="A134" t="s">
        <v>10</v>
      </c>
      <c r="B134">
        <v>24</v>
      </c>
      <c r="C134">
        <v>1</v>
      </c>
      <c r="D134">
        <v>1</v>
      </c>
      <c r="E134">
        <v>0</v>
      </c>
      <c r="F134" t="s">
        <v>39</v>
      </c>
      <c r="G134" t="s">
        <v>12</v>
      </c>
      <c r="H134" t="s">
        <v>19</v>
      </c>
      <c r="I134" t="s">
        <v>14</v>
      </c>
      <c r="J134">
        <v>1</v>
      </c>
      <c r="K134" t="str">
        <f t="shared" si="2"/>
        <v>Affected</v>
      </c>
      <c r="L134" t="str" cm="1">
        <f t="array" ref="L134">_xlfn.IFS(B134&gt;60,"Older Adult(&gt;60)",B134&gt;35,"Middle-aged Adult(36-60)",B134&gt;18,"Young Adult(19-35)",B134&gt;12,"Adolescent(13-18)",B134&gt;0,"Child(&lt;13)")</f>
        <v>Young Adult(19-35)</v>
      </c>
    </row>
    <row r="135" spans="1:12">
      <c r="A135" t="s">
        <v>10</v>
      </c>
      <c r="B135">
        <v>60</v>
      </c>
      <c r="C135">
        <v>0</v>
      </c>
      <c r="D135">
        <v>0</v>
      </c>
      <c r="E135">
        <v>1</v>
      </c>
      <c r="F135" t="s">
        <v>40</v>
      </c>
      <c r="G135" t="s">
        <v>17</v>
      </c>
      <c r="H135" t="s">
        <v>19</v>
      </c>
      <c r="I135" t="s">
        <v>14</v>
      </c>
      <c r="J135">
        <v>0</v>
      </c>
      <c r="K135" t="str">
        <f t="shared" si="2"/>
        <v>Not Affected</v>
      </c>
      <c r="L135" t="str" cm="1">
        <f t="array" ref="L135">_xlfn.IFS(B135&gt;60,"Older Adult(&gt;60)",B135&gt;35,"Middle-aged Adult(36-60)",B135&gt;18,"Young Adult(19-35)",B135&gt;12,"Adolescent(13-18)",B135&gt;0,"Child(&lt;13)")</f>
        <v>Middle-aged Adult(36-60)</v>
      </c>
    </row>
    <row r="136" spans="1:12">
      <c r="A136" t="s">
        <v>10</v>
      </c>
      <c r="B136">
        <v>47</v>
      </c>
      <c r="C136">
        <v>1</v>
      </c>
      <c r="D136">
        <v>1</v>
      </c>
      <c r="E136">
        <v>1</v>
      </c>
      <c r="F136" t="s">
        <v>31</v>
      </c>
      <c r="G136" t="s">
        <v>12</v>
      </c>
      <c r="H136" t="s">
        <v>19</v>
      </c>
      <c r="I136" t="s">
        <v>14</v>
      </c>
      <c r="J136">
        <v>1</v>
      </c>
      <c r="K136" t="str">
        <f t="shared" si="2"/>
        <v>Affected</v>
      </c>
      <c r="L136" t="str" cm="1">
        <f t="array" ref="L136">_xlfn.IFS(B136&gt;60,"Older Adult(&gt;60)",B136&gt;35,"Middle-aged Adult(36-60)",B136&gt;18,"Young Adult(19-35)",B136&gt;12,"Adolescent(13-18)",B136&gt;0,"Child(&lt;13)")</f>
        <v>Middle-aged Adult(36-60)</v>
      </c>
    </row>
    <row r="137" spans="1:12">
      <c r="A137" t="s">
        <v>10</v>
      </c>
      <c r="B137">
        <v>19</v>
      </c>
      <c r="C137">
        <v>1</v>
      </c>
      <c r="D137">
        <v>1</v>
      </c>
      <c r="E137">
        <v>0</v>
      </c>
      <c r="F137" t="s">
        <v>18</v>
      </c>
      <c r="G137" t="s">
        <v>17</v>
      </c>
      <c r="H137" t="s">
        <v>13</v>
      </c>
      <c r="I137" t="s">
        <v>14</v>
      </c>
      <c r="J137">
        <v>1</v>
      </c>
      <c r="K137" t="str">
        <f t="shared" si="2"/>
        <v>Affected</v>
      </c>
      <c r="L137" t="str" cm="1">
        <f t="array" ref="L137">_xlfn.IFS(B137&gt;60,"Older Adult(&gt;60)",B137&gt;35,"Middle-aged Adult(36-60)",B137&gt;18,"Young Adult(19-35)",B137&gt;12,"Adolescent(13-18)",B137&gt;0,"Child(&lt;13)")</f>
        <v>Young Adult(19-35)</v>
      </c>
    </row>
    <row r="138" spans="1:12">
      <c r="A138" t="s">
        <v>15</v>
      </c>
      <c r="B138">
        <v>55</v>
      </c>
      <c r="C138">
        <v>1</v>
      </c>
      <c r="D138">
        <v>1</v>
      </c>
      <c r="E138">
        <v>0</v>
      </c>
      <c r="F138" t="s">
        <v>34</v>
      </c>
      <c r="G138" t="s">
        <v>12</v>
      </c>
      <c r="H138" t="s">
        <v>24</v>
      </c>
      <c r="I138" t="s">
        <v>14</v>
      </c>
      <c r="J138">
        <v>1</v>
      </c>
      <c r="K138" t="str">
        <f t="shared" si="2"/>
        <v>Affected</v>
      </c>
      <c r="L138" t="str" cm="1">
        <f t="array" ref="L138">_xlfn.IFS(B138&gt;60,"Older Adult(&gt;60)",B138&gt;35,"Middle-aged Adult(36-60)",B138&gt;18,"Young Adult(19-35)",B138&gt;12,"Adolescent(13-18)",B138&gt;0,"Child(&lt;13)")</f>
        <v>Middle-aged Adult(36-60)</v>
      </c>
    </row>
    <row r="139" spans="1:12">
      <c r="A139" t="s">
        <v>10</v>
      </c>
      <c r="B139">
        <v>49</v>
      </c>
      <c r="C139">
        <v>1</v>
      </c>
      <c r="D139">
        <v>1</v>
      </c>
      <c r="E139">
        <v>0</v>
      </c>
      <c r="F139" t="s">
        <v>18</v>
      </c>
      <c r="G139" t="s">
        <v>17</v>
      </c>
      <c r="H139" t="s">
        <v>13</v>
      </c>
      <c r="I139" t="s">
        <v>14</v>
      </c>
      <c r="J139">
        <v>1</v>
      </c>
      <c r="K139" t="str">
        <f t="shared" si="2"/>
        <v>Affected</v>
      </c>
      <c r="L139" t="str" cm="1">
        <f t="array" ref="L139">_xlfn.IFS(B139&gt;60,"Older Adult(&gt;60)",B139&gt;35,"Middle-aged Adult(36-60)",B139&gt;18,"Young Adult(19-35)",B139&gt;12,"Adolescent(13-18)",B139&gt;0,"Child(&lt;13)")</f>
        <v>Middle-aged Adult(36-60)</v>
      </c>
    </row>
    <row r="140" spans="1:12">
      <c r="A140" t="s">
        <v>15</v>
      </c>
      <c r="B140">
        <v>32</v>
      </c>
      <c r="C140">
        <v>0</v>
      </c>
      <c r="D140">
        <v>1</v>
      </c>
      <c r="E140">
        <v>0</v>
      </c>
      <c r="F140" t="s">
        <v>53</v>
      </c>
      <c r="G140" t="s">
        <v>12</v>
      </c>
      <c r="H140" t="s">
        <v>24</v>
      </c>
      <c r="I140" t="s">
        <v>14</v>
      </c>
      <c r="J140">
        <v>1</v>
      </c>
      <c r="K140" t="str">
        <f t="shared" si="2"/>
        <v>Affected</v>
      </c>
      <c r="L140" t="str" cm="1">
        <f t="array" ref="L140">_xlfn.IFS(B140&gt;60,"Older Adult(&gt;60)",B140&gt;35,"Middle-aged Adult(36-60)",B140&gt;18,"Young Adult(19-35)",B140&gt;12,"Adolescent(13-18)",B140&gt;0,"Child(&lt;13)")</f>
        <v>Young Adult(19-35)</v>
      </c>
    </row>
    <row r="141" spans="1:12">
      <c r="A141" t="s">
        <v>10</v>
      </c>
      <c r="B141">
        <v>8</v>
      </c>
      <c r="C141">
        <v>1</v>
      </c>
      <c r="D141">
        <v>1</v>
      </c>
      <c r="E141">
        <v>0</v>
      </c>
      <c r="F141" t="s">
        <v>44</v>
      </c>
      <c r="G141" t="s">
        <v>17</v>
      </c>
      <c r="H141" t="s">
        <v>24</v>
      </c>
      <c r="I141" t="s">
        <v>14</v>
      </c>
      <c r="J141">
        <v>1</v>
      </c>
      <c r="K141" t="str">
        <f t="shared" si="2"/>
        <v>Affected</v>
      </c>
      <c r="L141" t="str" cm="1">
        <f t="array" ref="L141">_xlfn.IFS(B141&gt;60,"Older Adult(&gt;60)",B141&gt;35,"Middle-aged Adult(36-60)",B141&gt;18,"Young Adult(19-35)",B141&gt;12,"Adolescent(13-18)",B141&gt;0,"Child(&lt;13)")</f>
        <v>Child(&lt;13)</v>
      </c>
    </row>
    <row r="142" spans="1:12">
      <c r="A142" t="s">
        <v>10</v>
      </c>
      <c r="B142">
        <v>14</v>
      </c>
      <c r="C142">
        <v>0</v>
      </c>
      <c r="D142">
        <v>0</v>
      </c>
      <c r="E142">
        <v>0</v>
      </c>
      <c r="F142" t="s">
        <v>47</v>
      </c>
      <c r="G142" t="s">
        <v>12</v>
      </c>
      <c r="H142" t="s">
        <v>24</v>
      </c>
      <c r="I142" t="s">
        <v>14</v>
      </c>
      <c r="J142">
        <v>0</v>
      </c>
      <c r="K142" t="str">
        <f t="shared" si="2"/>
        <v>Not Affected</v>
      </c>
      <c r="L142" t="str" cm="1">
        <f t="array" ref="L142">_xlfn.IFS(B142&gt;60,"Older Adult(&gt;60)",B142&gt;35,"Middle-aged Adult(36-60)",B142&gt;18,"Young Adult(19-35)",B142&gt;12,"Adolescent(13-18)",B142&gt;0,"Child(&lt;13)")</f>
        <v>Adolescent(13-18)</v>
      </c>
    </row>
    <row r="143" spans="1:12">
      <c r="A143" t="s">
        <v>15</v>
      </c>
      <c r="B143">
        <v>28</v>
      </c>
      <c r="C143">
        <v>0</v>
      </c>
      <c r="D143">
        <v>0</v>
      </c>
      <c r="E143">
        <v>1</v>
      </c>
      <c r="F143" t="s">
        <v>46</v>
      </c>
      <c r="G143" t="s">
        <v>17</v>
      </c>
      <c r="H143" t="s">
        <v>19</v>
      </c>
      <c r="I143" t="s">
        <v>14</v>
      </c>
      <c r="J143">
        <v>0</v>
      </c>
      <c r="K143" t="str">
        <f t="shared" si="2"/>
        <v>Not Affected</v>
      </c>
      <c r="L143" t="str" cm="1">
        <f t="array" ref="L143">_xlfn.IFS(B143&gt;60,"Older Adult(&gt;60)",B143&gt;35,"Middle-aged Adult(36-60)",B143&gt;18,"Young Adult(19-35)",B143&gt;12,"Adolescent(13-18)",B143&gt;0,"Child(&lt;13)")</f>
        <v>Young Adult(19-35)</v>
      </c>
    </row>
    <row r="144" spans="1:12">
      <c r="A144" t="s">
        <v>10</v>
      </c>
      <c r="B144">
        <v>11</v>
      </c>
      <c r="C144">
        <v>1</v>
      </c>
      <c r="D144">
        <v>1</v>
      </c>
      <c r="E144">
        <v>1</v>
      </c>
      <c r="F144" t="s">
        <v>38</v>
      </c>
      <c r="G144" t="s">
        <v>12</v>
      </c>
      <c r="H144" t="s">
        <v>19</v>
      </c>
      <c r="I144" t="s">
        <v>14</v>
      </c>
      <c r="J144">
        <v>1</v>
      </c>
      <c r="K144" t="str">
        <f t="shared" si="2"/>
        <v>Affected</v>
      </c>
      <c r="L144" t="str" cm="1">
        <f t="array" ref="L144">_xlfn.IFS(B144&gt;60,"Older Adult(&gt;60)",B144&gt;35,"Middle-aged Adult(36-60)",B144&gt;18,"Young Adult(19-35)",B144&gt;12,"Adolescent(13-18)",B144&gt;0,"Child(&lt;13)")</f>
        <v>Child(&lt;13)</v>
      </c>
    </row>
    <row r="145" spans="1:12">
      <c r="A145" t="s">
        <v>15</v>
      </c>
      <c r="B145">
        <v>29</v>
      </c>
      <c r="C145">
        <v>0</v>
      </c>
      <c r="D145">
        <v>0</v>
      </c>
      <c r="E145">
        <v>0</v>
      </c>
      <c r="F145" t="s">
        <v>53</v>
      </c>
      <c r="G145" t="s">
        <v>17</v>
      </c>
      <c r="H145" t="s">
        <v>13</v>
      </c>
      <c r="I145" t="s">
        <v>14</v>
      </c>
      <c r="J145">
        <v>0</v>
      </c>
      <c r="K145" t="str">
        <f t="shared" si="2"/>
        <v>Not Affected</v>
      </c>
      <c r="L145" t="str" cm="1">
        <f t="array" ref="L145">_xlfn.IFS(B145&gt;60,"Older Adult(&gt;60)",B145&gt;35,"Middle-aged Adult(36-60)",B145&gt;18,"Young Adult(19-35)",B145&gt;12,"Adolescent(13-18)",B145&gt;0,"Child(&lt;13)")</f>
        <v>Young Adult(19-35)</v>
      </c>
    </row>
    <row r="146" spans="1:12">
      <c r="A146" t="s">
        <v>10</v>
      </c>
      <c r="B146">
        <v>62</v>
      </c>
      <c r="C146">
        <v>0</v>
      </c>
      <c r="D146">
        <v>0</v>
      </c>
      <c r="E146">
        <v>1</v>
      </c>
      <c r="F146" t="s">
        <v>29</v>
      </c>
      <c r="G146" t="s">
        <v>12</v>
      </c>
      <c r="H146" t="s">
        <v>19</v>
      </c>
      <c r="I146" t="s">
        <v>14</v>
      </c>
      <c r="J146">
        <v>0</v>
      </c>
      <c r="K146" t="str">
        <f t="shared" si="2"/>
        <v>Not Affected</v>
      </c>
      <c r="L146" t="str" cm="1">
        <f t="array" ref="L146">_xlfn.IFS(B146&gt;60,"Older Adult(&gt;60)",B146&gt;35,"Middle-aged Adult(36-60)",B146&gt;18,"Young Adult(19-35)",B146&gt;12,"Adolescent(13-18)",B146&gt;0,"Child(&lt;13)")</f>
        <v>Older Adult(&gt;60)</v>
      </c>
    </row>
    <row r="147" spans="1:12">
      <c r="A147" t="s">
        <v>10</v>
      </c>
      <c r="B147">
        <v>65</v>
      </c>
      <c r="C147">
        <v>1</v>
      </c>
      <c r="D147">
        <v>1</v>
      </c>
      <c r="E147">
        <v>1</v>
      </c>
      <c r="F147" t="s">
        <v>18</v>
      </c>
      <c r="G147" t="s">
        <v>17</v>
      </c>
      <c r="H147" t="s">
        <v>19</v>
      </c>
      <c r="I147" t="s">
        <v>14</v>
      </c>
      <c r="J147">
        <v>1</v>
      </c>
      <c r="K147" t="str">
        <f t="shared" si="2"/>
        <v>Affected</v>
      </c>
      <c r="L147" t="str" cm="1">
        <f t="array" ref="L147">_xlfn.IFS(B147&gt;60,"Older Adult(&gt;60)",B147&gt;35,"Middle-aged Adult(36-60)",B147&gt;18,"Young Adult(19-35)",B147&gt;12,"Adolescent(13-18)",B147&gt;0,"Child(&lt;13)")</f>
        <v>Older Adult(&gt;60)</v>
      </c>
    </row>
    <row r="148" spans="1:12">
      <c r="A148" t="s">
        <v>10</v>
      </c>
      <c r="B148">
        <v>43</v>
      </c>
      <c r="C148">
        <v>1</v>
      </c>
      <c r="D148">
        <v>1</v>
      </c>
      <c r="E148">
        <v>1</v>
      </c>
      <c r="F148" t="s">
        <v>37</v>
      </c>
      <c r="G148" t="s">
        <v>12</v>
      </c>
      <c r="H148" t="s">
        <v>19</v>
      </c>
      <c r="I148" t="s">
        <v>14</v>
      </c>
      <c r="J148">
        <v>1</v>
      </c>
      <c r="K148" t="str">
        <f t="shared" si="2"/>
        <v>Affected</v>
      </c>
      <c r="L148" t="str" cm="1">
        <f t="array" ref="L148">_xlfn.IFS(B148&gt;60,"Older Adult(&gt;60)",B148&gt;35,"Middle-aged Adult(36-60)",B148&gt;18,"Young Adult(19-35)",B148&gt;12,"Adolescent(13-18)",B148&gt;0,"Child(&lt;13)")</f>
        <v>Middle-aged Adult(36-60)</v>
      </c>
    </row>
    <row r="149" spans="1:12">
      <c r="A149" t="s">
        <v>10</v>
      </c>
      <c r="B149">
        <v>59</v>
      </c>
      <c r="C149">
        <v>1</v>
      </c>
      <c r="D149">
        <v>1</v>
      </c>
      <c r="E149">
        <v>0</v>
      </c>
      <c r="F149" t="s">
        <v>43</v>
      </c>
      <c r="G149" t="s">
        <v>17</v>
      </c>
      <c r="H149" t="s">
        <v>24</v>
      </c>
      <c r="I149" t="s">
        <v>14</v>
      </c>
      <c r="J149">
        <v>1</v>
      </c>
      <c r="K149" t="str">
        <f t="shared" si="2"/>
        <v>Affected</v>
      </c>
      <c r="L149" t="str" cm="1">
        <f t="array" ref="L149">_xlfn.IFS(B149&gt;60,"Older Adult(&gt;60)",B149&gt;35,"Middle-aged Adult(36-60)",B149&gt;18,"Young Adult(19-35)",B149&gt;12,"Adolescent(13-18)",B149&gt;0,"Child(&lt;13)")</f>
        <v>Middle-aged Adult(36-60)</v>
      </c>
    </row>
    <row r="150" spans="1:12">
      <c r="A150" t="s">
        <v>10</v>
      </c>
      <c r="B150">
        <v>29</v>
      </c>
      <c r="C150">
        <v>1</v>
      </c>
      <c r="D150">
        <v>1</v>
      </c>
      <c r="E150">
        <v>1</v>
      </c>
      <c r="F150" t="s">
        <v>16</v>
      </c>
      <c r="G150" t="s">
        <v>12</v>
      </c>
      <c r="H150" t="s">
        <v>24</v>
      </c>
      <c r="I150" t="s">
        <v>14</v>
      </c>
      <c r="J150">
        <v>1</v>
      </c>
      <c r="K150" t="str">
        <f t="shared" si="2"/>
        <v>Affected</v>
      </c>
      <c r="L150" t="str" cm="1">
        <f t="array" ref="L150">_xlfn.IFS(B150&gt;60,"Older Adult(&gt;60)",B150&gt;35,"Middle-aged Adult(36-60)",B150&gt;18,"Young Adult(19-35)",B150&gt;12,"Adolescent(13-18)",B150&gt;0,"Child(&lt;13)")</f>
        <v>Young Adult(19-35)</v>
      </c>
    </row>
    <row r="151" spans="1:12">
      <c r="A151" t="s">
        <v>15</v>
      </c>
      <c r="B151">
        <v>17</v>
      </c>
      <c r="C151">
        <v>0</v>
      </c>
      <c r="D151">
        <v>0</v>
      </c>
      <c r="E151">
        <v>0</v>
      </c>
      <c r="F151" t="s">
        <v>49</v>
      </c>
      <c r="G151" t="s">
        <v>17</v>
      </c>
      <c r="H151" t="s">
        <v>13</v>
      </c>
      <c r="I151" t="s">
        <v>14</v>
      </c>
      <c r="J151">
        <v>0</v>
      </c>
      <c r="K151" t="str">
        <f t="shared" si="2"/>
        <v>Not Affected</v>
      </c>
      <c r="L151" t="str" cm="1">
        <f t="array" ref="L151">_xlfn.IFS(B151&gt;60,"Older Adult(&gt;60)",B151&gt;35,"Middle-aged Adult(36-60)",B151&gt;18,"Young Adult(19-35)",B151&gt;12,"Adolescent(13-18)",B151&gt;0,"Child(&lt;13)")</f>
        <v>Adolescent(13-18)</v>
      </c>
    </row>
    <row r="152" spans="1:12">
      <c r="A152" t="s">
        <v>10</v>
      </c>
      <c r="B152">
        <v>41</v>
      </c>
      <c r="C152">
        <v>1</v>
      </c>
      <c r="D152">
        <v>1</v>
      </c>
      <c r="E152">
        <v>1</v>
      </c>
      <c r="F152" t="s">
        <v>29</v>
      </c>
      <c r="G152" t="s">
        <v>12</v>
      </c>
      <c r="H152" t="s">
        <v>19</v>
      </c>
      <c r="I152" t="s">
        <v>14</v>
      </c>
      <c r="J152">
        <v>1</v>
      </c>
      <c r="K152" t="str">
        <f t="shared" si="2"/>
        <v>Affected</v>
      </c>
      <c r="L152" t="str" cm="1">
        <f t="array" ref="L152">_xlfn.IFS(B152&gt;60,"Older Adult(&gt;60)",B152&gt;35,"Middle-aged Adult(36-60)",B152&gt;18,"Young Adult(19-35)",B152&gt;12,"Adolescent(13-18)",B152&gt;0,"Child(&lt;13)")</f>
        <v>Middle-aged Adult(36-60)</v>
      </c>
    </row>
    <row r="153" spans="1:12">
      <c r="A153" t="s">
        <v>10</v>
      </c>
      <c r="B153">
        <v>8</v>
      </c>
      <c r="C153">
        <v>1</v>
      </c>
      <c r="D153">
        <v>1</v>
      </c>
      <c r="E153">
        <v>1</v>
      </c>
      <c r="F153" t="s">
        <v>47</v>
      </c>
      <c r="G153" t="s">
        <v>17</v>
      </c>
      <c r="H153" t="s">
        <v>13</v>
      </c>
      <c r="I153" t="s">
        <v>14</v>
      </c>
      <c r="J153">
        <v>1</v>
      </c>
      <c r="K153" t="str">
        <f t="shared" si="2"/>
        <v>Affected</v>
      </c>
      <c r="L153" t="str" cm="1">
        <f t="array" ref="L153">_xlfn.IFS(B153&gt;60,"Older Adult(&gt;60)",B153&gt;35,"Middle-aged Adult(36-60)",B153&gt;18,"Young Adult(19-35)",B153&gt;12,"Adolescent(13-18)",B153&gt;0,"Child(&lt;13)")</f>
        <v>Child(&lt;13)</v>
      </c>
    </row>
    <row r="154" spans="1:12">
      <c r="A154" t="s">
        <v>10</v>
      </c>
      <c r="B154">
        <v>29</v>
      </c>
      <c r="C154">
        <v>1</v>
      </c>
      <c r="D154">
        <v>1</v>
      </c>
      <c r="E154">
        <v>0</v>
      </c>
      <c r="F154" t="s">
        <v>31</v>
      </c>
      <c r="G154" t="s">
        <v>12</v>
      </c>
      <c r="H154" t="s">
        <v>24</v>
      </c>
      <c r="I154" t="s">
        <v>14</v>
      </c>
      <c r="J154">
        <v>1</v>
      </c>
      <c r="K154" t="str">
        <f t="shared" si="2"/>
        <v>Affected</v>
      </c>
      <c r="L154" t="str" cm="1">
        <f t="array" ref="L154">_xlfn.IFS(B154&gt;60,"Older Adult(&gt;60)",B154&gt;35,"Middle-aged Adult(36-60)",B154&gt;18,"Young Adult(19-35)",B154&gt;12,"Adolescent(13-18)",B154&gt;0,"Child(&lt;13)")</f>
        <v>Young Adult(19-35)</v>
      </c>
    </row>
    <row r="155" spans="1:12">
      <c r="A155" t="s">
        <v>10</v>
      </c>
      <c r="B155">
        <v>54</v>
      </c>
      <c r="C155">
        <v>1</v>
      </c>
      <c r="D155">
        <v>1</v>
      </c>
      <c r="E155">
        <v>0</v>
      </c>
      <c r="F155" t="s">
        <v>50</v>
      </c>
      <c r="G155" t="s">
        <v>17</v>
      </c>
      <c r="H155" t="s">
        <v>24</v>
      </c>
      <c r="I155" t="s">
        <v>14</v>
      </c>
      <c r="J155">
        <v>1</v>
      </c>
      <c r="K155" t="str">
        <f t="shared" si="2"/>
        <v>Affected</v>
      </c>
      <c r="L155" t="str" cm="1">
        <f t="array" ref="L155">_xlfn.IFS(B155&gt;60,"Older Adult(&gt;60)",B155&gt;35,"Middle-aged Adult(36-60)",B155&gt;18,"Young Adult(19-35)",B155&gt;12,"Adolescent(13-18)",B155&gt;0,"Child(&lt;13)")</f>
        <v>Middle-aged Adult(36-60)</v>
      </c>
    </row>
    <row r="156" spans="1:12">
      <c r="A156" t="s">
        <v>10</v>
      </c>
      <c r="B156">
        <v>53</v>
      </c>
      <c r="C156">
        <v>0</v>
      </c>
      <c r="D156">
        <v>0</v>
      </c>
      <c r="E156">
        <v>1</v>
      </c>
      <c r="F156" t="s">
        <v>16</v>
      </c>
      <c r="G156" t="s">
        <v>12</v>
      </c>
      <c r="H156" t="s">
        <v>13</v>
      </c>
      <c r="I156" t="s">
        <v>14</v>
      </c>
      <c r="J156">
        <v>0</v>
      </c>
      <c r="K156" t="str">
        <f t="shared" si="2"/>
        <v>Not Affected</v>
      </c>
      <c r="L156" t="str" cm="1">
        <f t="array" ref="L156">_xlfn.IFS(B156&gt;60,"Older Adult(&gt;60)",B156&gt;35,"Middle-aged Adult(36-60)",B156&gt;18,"Young Adult(19-35)",B156&gt;12,"Adolescent(13-18)",B156&gt;0,"Child(&lt;13)")</f>
        <v>Middle-aged Adult(36-60)</v>
      </c>
    </row>
    <row r="157" spans="1:12">
      <c r="A157" t="s">
        <v>15</v>
      </c>
      <c r="B157">
        <v>16</v>
      </c>
      <c r="C157">
        <v>1</v>
      </c>
      <c r="D157">
        <v>1</v>
      </c>
      <c r="E157">
        <v>1</v>
      </c>
      <c r="F157" t="s">
        <v>45</v>
      </c>
      <c r="G157" t="s">
        <v>17</v>
      </c>
      <c r="H157" t="s">
        <v>13</v>
      </c>
      <c r="I157" t="s">
        <v>14</v>
      </c>
      <c r="J157">
        <v>1</v>
      </c>
      <c r="K157" t="str">
        <f t="shared" si="2"/>
        <v>Affected</v>
      </c>
      <c r="L157" t="str" cm="1">
        <f t="array" ref="L157">_xlfn.IFS(B157&gt;60,"Older Adult(&gt;60)",B157&gt;35,"Middle-aged Adult(36-60)",B157&gt;18,"Young Adult(19-35)",B157&gt;12,"Adolescent(13-18)",B157&gt;0,"Child(&lt;13)")</f>
        <v>Adolescent(13-18)</v>
      </c>
    </row>
    <row r="158" spans="1:12">
      <c r="A158" t="s">
        <v>15</v>
      </c>
      <c r="B158">
        <v>43</v>
      </c>
      <c r="C158">
        <v>0</v>
      </c>
      <c r="D158">
        <v>0</v>
      </c>
      <c r="E158">
        <v>1</v>
      </c>
      <c r="F158" t="s">
        <v>31</v>
      </c>
      <c r="G158" t="s">
        <v>12</v>
      </c>
      <c r="H158" t="s">
        <v>13</v>
      </c>
      <c r="I158" t="s">
        <v>14</v>
      </c>
      <c r="J158">
        <v>0</v>
      </c>
      <c r="K158" t="str">
        <f t="shared" si="2"/>
        <v>Not Affected</v>
      </c>
      <c r="L158" t="str" cm="1">
        <f t="array" ref="L158">_xlfn.IFS(B158&gt;60,"Older Adult(&gt;60)",B158&gt;35,"Middle-aged Adult(36-60)",B158&gt;18,"Young Adult(19-35)",B158&gt;12,"Adolescent(13-18)",B158&gt;0,"Child(&lt;13)")</f>
        <v>Middle-aged Adult(36-60)</v>
      </c>
    </row>
    <row r="159" spans="1:12">
      <c r="A159" t="s">
        <v>15</v>
      </c>
      <c r="B159">
        <v>54</v>
      </c>
      <c r="C159">
        <v>0</v>
      </c>
      <c r="D159">
        <v>0</v>
      </c>
      <c r="E159">
        <v>0</v>
      </c>
      <c r="F159" t="s">
        <v>36</v>
      </c>
      <c r="G159" t="s">
        <v>17</v>
      </c>
      <c r="H159" t="s">
        <v>19</v>
      </c>
      <c r="I159" t="s">
        <v>14</v>
      </c>
      <c r="J159">
        <v>0</v>
      </c>
      <c r="K159" t="str">
        <f t="shared" si="2"/>
        <v>Not Affected</v>
      </c>
      <c r="L159" t="str" cm="1">
        <f t="array" ref="L159">_xlfn.IFS(B159&gt;60,"Older Adult(&gt;60)",B159&gt;35,"Middle-aged Adult(36-60)",B159&gt;18,"Young Adult(19-35)",B159&gt;12,"Adolescent(13-18)",B159&gt;0,"Child(&lt;13)")</f>
        <v>Middle-aged Adult(36-60)</v>
      </c>
    </row>
    <row r="160" spans="1:12">
      <c r="A160" t="s">
        <v>15</v>
      </c>
      <c r="B160">
        <v>41</v>
      </c>
      <c r="C160">
        <v>0</v>
      </c>
      <c r="D160">
        <v>0</v>
      </c>
      <c r="E160">
        <v>0</v>
      </c>
      <c r="F160" t="s">
        <v>39</v>
      </c>
      <c r="G160" t="s">
        <v>12</v>
      </c>
      <c r="H160" t="s">
        <v>24</v>
      </c>
      <c r="I160" t="s">
        <v>14</v>
      </c>
      <c r="J160">
        <v>0</v>
      </c>
      <c r="K160" t="str">
        <f t="shared" si="2"/>
        <v>Not Affected</v>
      </c>
      <c r="L160" t="str" cm="1">
        <f t="array" ref="L160">_xlfn.IFS(B160&gt;60,"Older Adult(&gt;60)",B160&gt;35,"Middle-aged Adult(36-60)",B160&gt;18,"Young Adult(19-35)",B160&gt;12,"Adolescent(13-18)",B160&gt;0,"Child(&lt;13)")</f>
        <v>Middle-aged Adult(36-60)</v>
      </c>
    </row>
    <row r="161" spans="1:12">
      <c r="A161" t="s">
        <v>15</v>
      </c>
      <c r="B161">
        <v>42</v>
      </c>
      <c r="C161">
        <v>0</v>
      </c>
      <c r="D161">
        <v>0</v>
      </c>
      <c r="E161">
        <v>0</v>
      </c>
      <c r="F161" t="s">
        <v>51</v>
      </c>
      <c r="G161" t="s">
        <v>17</v>
      </c>
      <c r="H161" t="s">
        <v>19</v>
      </c>
      <c r="I161" t="s">
        <v>14</v>
      </c>
      <c r="J161">
        <v>0</v>
      </c>
      <c r="K161" t="str">
        <f t="shared" si="2"/>
        <v>Not Affected</v>
      </c>
      <c r="L161" t="str" cm="1">
        <f t="array" ref="L161">_xlfn.IFS(B161&gt;60,"Older Adult(&gt;60)",B161&gt;35,"Middle-aged Adult(36-60)",B161&gt;18,"Young Adult(19-35)",B161&gt;12,"Adolescent(13-18)",B161&gt;0,"Child(&lt;13)")</f>
        <v>Middle-aged Adult(36-60)</v>
      </c>
    </row>
    <row r="162" spans="1:12">
      <c r="A162" t="s">
        <v>10</v>
      </c>
      <c r="B162">
        <v>45</v>
      </c>
      <c r="C162">
        <v>1</v>
      </c>
      <c r="D162">
        <v>1</v>
      </c>
      <c r="E162">
        <v>1</v>
      </c>
      <c r="F162" t="s">
        <v>25</v>
      </c>
      <c r="G162" t="s">
        <v>12</v>
      </c>
      <c r="H162" t="s">
        <v>19</v>
      </c>
      <c r="I162" t="s">
        <v>14</v>
      </c>
      <c r="J162">
        <v>1</v>
      </c>
      <c r="K162" t="str">
        <f t="shared" si="2"/>
        <v>Affected</v>
      </c>
      <c r="L162" t="str" cm="1">
        <f t="array" ref="L162">_xlfn.IFS(B162&gt;60,"Older Adult(&gt;60)",B162&gt;35,"Middle-aged Adult(36-60)",B162&gt;18,"Young Adult(19-35)",B162&gt;12,"Adolescent(13-18)",B162&gt;0,"Child(&lt;13)")</f>
        <v>Middle-aged Adult(36-60)</v>
      </c>
    </row>
    <row r="163" spans="1:12">
      <c r="A163" t="s">
        <v>15</v>
      </c>
      <c r="B163">
        <v>13</v>
      </c>
      <c r="C163">
        <v>1</v>
      </c>
      <c r="D163">
        <v>1</v>
      </c>
      <c r="E163">
        <v>1</v>
      </c>
      <c r="F163" t="s">
        <v>50</v>
      </c>
      <c r="G163" t="s">
        <v>17</v>
      </c>
      <c r="H163" t="s">
        <v>19</v>
      </c>
      <c r="I163" t="s">
        <v>14</v>
      </c>
      <c r="J163">
        <v>1</v>
      </c>
      <c r="K163" t="str">
        <f t="shared" si="2"/>
        <v>Affected</v>
      </c>
      <c r="L163" t="str" cm="1">
        <f t="array" ref="L163">_xlfn.IFS(B163&gt;60,"Older Adult(&gt;60)",B163&gt;35,"Middle-aged Adult(36-60)",B163&gt;18,"Young Adult(19-35)",B163&gt;12,"Adolescent(13-18)",B163&gt;0,"Child(&lt;13)")</f>
        <v>Adolescent(13-18)</v>
      </c>
    </row>
    <row r="164" spans="1:12">
      <c r="A164" t="s">
        <v>10</v>
      </c>
      <c r="B164">
        <v>10</v>
      </c>
      <c r="C164">
        <v>1</v>
      </c>
      <c r="D164">
        <v>1</v>
      </c>
      <c r="E164">
        <v>0</v>
      </c>
      <c r="F164" t="s">
        <v>45</v>
      </c>
      <c r="G164" t="s">
        <v>12</v>
      </c>
      <c r="H164" t="s">
        <v>13</v>
      </c>
      <c r="I164" t="s">
        <v>14</v>
      </c>
      <c r="J164">
        <v>1</v>
      </c>
      <c r="K164" t="str">
        <f t="shared" si="2"/>
        <v>Affected</v>
      </c>
      <c r="L164" t="str" cm="1">
        <f t="array" ref="L164">_xlfn.IFS(B164&gt;60,"Older Adult(&gt;60)",B164&gt;35,"Middle-aged Adult(36-60)",B164&gt;18,"Young Adult(19-35)",B164&gt;12,"Adolescent(13-18)",B164&gt;0,"Child(&lt;13)")</f>
        <v>Child(&lt;13)</v>
      </c>
    </row>
    <row r="165" spans="1:12">
      <c r="A165" t="s">
        <v>15</v>
      </c>
      <c r="B165">
        <v>18</v>
      </c>
      <c r="C165">
        <v>1</v>
      </c>
      <c r="D165">
        <v>1</v>
      </c>
      <c r="E165">
        <v>0</v>
      </c>
      <c r="F165" t="s">
        <v>31</v>
      </c>
      <c r="G165" t="s">
        <v>17</v>
      </c>
      <c r="H165" t="s">
        <v>13</v>
      </c>
      <c r="I165" t="s">
        <v>14</v>
      </c>
      <c r="J165">
        <v>1</v>
      </c>
      <c r="K165" t="str">
        <f t="shared" si="2"/>
        <v>Affected</v>
      </c>
      <c r="L165" t="str" cm="1">
        <f t="array" ref="L165">_xlfn.IFS(B165&gt;60,"Older Adult(&gt;60)",B165&gt;35,"Middle-aged Adult(36-60)",B165&gt;18,"Young Adult(19-35)",B165&gt;12,"Adolescent(13-18)",B165&gt;0,"Child(&lt;13)")</f>
        <v>Adolescent(13-18)</v>
      </c>
    </row>
    <row r="166" spans="1:12">
      <c r="A166" t="s">
        <v>10</v>
      </c>
      <c r="B166">
        <v>9</v>
      </c>
      <c r="C166">
        <v>1</v>
      </c>
      <c r="D166">
        <v>1</v>
      </c>
      <c r="E166">
        <v>0</v>
      </c>
      <c r="F166" t="s">
        <v>32</v>
      </c>
      <c r="G166" t="s">
        <v>12</v>
      </c>
      <c r="H166" t="s">
        <v>24</v>
      </c>
      <c r="I166" t="s">
        <v>14</v>
      </c>
      <c r="J166">
        <v>1</v>
      </c>
      <c r="K166" t="str">
        <f t="shared" si="2"/>
        <v>Affected</v>
      </c>
      <c r="L166" t="str" cm="1">
        <f t="array" ref="L166">_xlfn.IFS(B166&gt;60,"Older Adult(&gt;60)",B166&gt;35,"Middle-aged Adult(36-60)",B166&gt;18,"Young Adult(19-35)",B166&gt;12,"Adolescent(13-18)",B166&gt;0,"Child(&lt;13)")</f>
        <v>Child(&lt;13)</v>
      </c>
    </row>
    <row r="167" spans="1:12">
      <c r="A167" t="s">
        <v>10</v>
      </c>
      <c r="B167">
        <v>63</v>
      </c>
      <c r="C167">
        <v>0</v>
      </c>
      <c r="D167">
        <v>0</v>
      </c>
      <c r="E167">
        <v>1</v>
      </c>
      <c r="F167" t="s">
        <v>43</v>
      </c>
      <c r="G167" t="s">
        <v>17</v>
      </c>
      <c r="H167" t="s">
        <v>24</v>
      </c>
      <c r="I167" t="s">
        <v>14</v>
      </c>
      <c r="J167">
        <v>0</v>
      </c>
      <c r="K167" t="str">
        <f t="shared" si="2"/>
        <v>Not Affected</v>
      </c>
      <c r="L167" t="str" cm="1">
        <f t="array" ref="L167">_xlfn.IFS(B167&gt;60,"Older Adult(&gt;60)",B167&gt;35,"Middle-aged Adult(36-60)",B167&gt;18,"Young Adult(19-35)",B167&gt;12,"Adolescent(13-18)",B167&gt;0,"Child(&lt;13)")</f>
        <v>Older Adult(&gt;60)</v>
      </c>
    </row>
    <row r="168" spans="1:12">
      <c r="A168" t="s">
        <v>15</v>
      </c>
      <c r="B168">
        <v>36</v>
      </c>
      <c r="C168">
        <v>1</v>
      </c>
      <c r="D168">
        <v>1</v>
      </c>
      <c r="E168">
        <v>0</v>
      </c>
      <c r="F168" t="s">
        <v>22</v>
      </c>
      <c r="G168" t="s">
        <v>12</v>
      </c>
      <c r="H168" t="s">
        <v>13</v>
      </c>
      <c r="I168" t="s">
        <v>14</v>
      </c>
      <c r="J168">
        <v>1</v>
      </c>
      <c r="K168" t="str">
        <f t="shared" si="2"/>
        <v>Affected</v>
      </c>
      <c r="L168" t="str" cm="1">
        <f t="array" ref="L168">_xlfn.IFS(B168&gt;60,"Older Adult(&gt;60)",B168&gt;35,"Middle-aged Adult(36-60)",B168&gt;18,"Young Adult(19-35)",B168&gt;12,"Adolescent(13-18)",B168&gt;0,"Child(&lt;13)")</f>
        <v>Middle-aged Adult(36-60)</v>
      </c>
    </row>
    <row r="169" spans="1:12">
      <c r="A169" t="s">
        <v>15</v>
      </c>
      <c r="B169">
        <v>15</v>
      </c>
      <c r="C169">
        <v>0</v>
      </c>
      <c r="D169">
        <v>0</v>
      </c>
      <c r="E169">
        <v>1</v>
      </c>
      <c r="F169" t="s">
        <v>32</v>
      </c>
      <c r="G169" t="s">
        <v>17</v>
      </c>
      <c r="H169" t="s">
        <v>13</v>
      </c>
      <c r="I169" t="s">
        <v>14</v>
      </c>
      <c r="J169">
        <v>0</v>
      </c>
      <c r="K169" t="str">
        <f t="shared" si="2"/>
        <v>Not Affected</v>
      </c>
      <c r="L169" t="str" cm="1">
        <f t="array" ref="L169">_xlfn.IFS(B169&gt;60,"Older Adult(&gt;60)",B169&gt;35,"Middle-aged Adult(36-60)",B169&gt;18,"Young Adult(19-35)",B169&gt;12,"Adolescent(13-18)",B169&gt;0,"Child(&lt;13)")</f>
        <v>Adolescent(13-18)</v>
      </c>
    </row>
    <row r="170" spans="1:12">
      <c r="A170" t="s">
        <v>15</v>
      </c>
      <c r="B170">
        <v>30</v>
      </c>
      <c r="C170">
        <v>0</v>
      </c>
      <c r="D170">
        <v>0</v>
      </c>
      <c r="E170">
        <v>0</v>
      </c>
      <c r="F170" t="s">
        <v>18</v>
      </c>
      <c r="G170" t="s">
        <v>12</v>
      </c>
      <c r="H170" t="s">
        <v>19</v>
      </c>
      <c r="I170" t="s">
        <v>14</v>
      </c>
      <c r="J170">
        <v>0</v>
      </c>
      <c r="K170" t="str">
        <f t="shared" si="2"/>
        <v>Not Affected</v>
      </c>
      <c r="L170" t="str" cm="1">
        <f t="array" ref="L170">_xlfn.IFS(B170&gt;60,"Older Adult(&gt;60)",B170&gt;35,"Middle-aged Adult(36-60)",B170&gt;18,"Young Adult(19-35)",B170&gt;12,"Adolescent(13-18)",B170&gt;0,"Child(&lt;13)")</f>
        <v>Young Adult(19-35)</v>
      </c>
    </row>
    <row r="171" spans="1:12">
      <c r="A171" t="s">
        <v>10</v>
      </c>
      <c r="B171">
        <v>40</v>
      </c>
      <c r="C171">
        <v>1</v>
      </c>
      <c r="D171">
        <v>1</v>
      </c>
      <c r="E171">
        <v>0</v>
      </c>
      <c r="F171" t="s">
        <v>34</v>
      </c>
      <c r="G171" t="s">
        <v>17</v>
      </c>
      <c r="H171" t="s">
        <v>13</v>
      </c>
      <c r="I171" t="s">
        <v>14</v>
      </c>
      <c r="J171">
        <v>1</v>
      </c>
      <c r="K171" t="str">
        <f t="shared" si="2"/>
        <v>Affected</v>
      </c>
      <c r="L171" t="str" cm="1">
        <f t="array" ref="L171">_xlfn.IFS(B171&gt;60,"Older Adult(&gt;60)",B171&gt;35,"Middle-aged Adult(36-60)",B171&gt;18,"Young Adult(19-35)",B171&gt;12,"Adolescent(13-18)",B171&gt;0,"Child(&lt;13)")</f>
        <v>Middle-aged Adult(36-60)</v>
      </c>
    </row>
    <row r="172" spans="1:12">
      <c r="A172" t="s">
        <v>15</v>
      </c>
      <c r="B172">
        <v>45</v>
      </c>
      <c r="C172">
        <v>1</v>
      </c>
      <c r="D172">
        <v>1</v>
      </c>
      <c r="E172">
        <v>0</v>
      </c>
      <c r="F172" t="s">
        <v>18</v>
      </c>
      <c r="G172" t="s">
        <v>12</v>
      </c>
      <c r="H172" t="s">
        <v>24</v>
      </c>
      <c r="I172" t="s">
        <v>14</v>
      </c>
      <c r="J172">
        <v>1</v>
      </c>
      <c r="K172" t="str">
        <f t="shared" si="2"/>
        <v>Affected</v>
      </c>
      <c r="L172" t="str" cm="1">
        <f t="array" ref="L172">_xlfn.IFS(B172&gt;60,"Older Adult(&gt;60)",B172&gt;35,"Middle-aged Adult(36-60)",B172&gt;18,"Young Adult(19-35)",B172&gt;12,"Adolescent(13-18)",B172&gt;0,"Child(&lt;13)")</f>
        <v>Middle-aged Adult(36-60)</v>
      </c>
    </row>
    <row r="173" spans="1:12">
      <c r="A173" t="s">
        <v>10</v>
      </c>
      <c r="B173">
        <v>14</v>
      </c>
      <c r="C173">
        <v>0</v>
      </c>
      <c r="D173">
        <v>0</v>
      </c>
      <c r="E173">
        <v>1</v>
      </c>
      <c r="F173" t="s">
        <v>31</v>
      </c>
      <c r="G173" t="s">
        <v>17</v>
      </c>
      <c r="H173" t="s">
        <v>19</v>
      </c>
      <c r="I173" t="s">
        <v>14</v>
      </c>
      <c r="J173">
        <v>0</v>
      </c>
      <c r="K173" t="str">
        <f t="shared" si="2"/>
        <v>Not Affected</v>
      </c>
      <c r="L173" t="str" cm="1">
        <f t="array" ref="L173">_xlfn.IFS(B173&gt;60,"Older Adult(&gt;60)",B173&gt;35,"Middle-aged Adult(36-60)",B173&gt;18,"Young Adult(19-35)",B173&gt;12,"Adolescent(13-18)",B173&gt;0,"Child(&lt;13)")</f>
        <v>Adolescent(13-18)</v>
      </c>
    </row>
    <row r="174" spans="1:12">
      <c r="A174" t="s">
        <v>10</v>
      </c>
      <c r="B174">
        <v>9</v>
      </c>
      <c r="C174">
        <v>1</v>
      </c>
      <c r="D174">
        <v>1</v>
      </c>
      <c r="E174">
        <v>0</v>
      </c>
      <c r="F174" t="s">
        <v>22</v>
      </c>
      <c r="G174" t="s">
        <v>12</v>
      </c>
      <c r="H174" t="s">
        <v>24</v>
      </c>
      <c r="I174" t="s">
        <v>14</v>
      </c>
      <c r="J174">
        <v>1</v>
      </c>
      <c r="K174" t="str">
        <f t="shared" si="2"/>
        <v>Affected</v>
      </c>
      <c r="L174" t="str" cm="1">
        <f t="array" ref="L174">_xlfn.IFS(B174&gt;60,"Older Adult(&gt;60)",B174&gt;35,"Middle-aged Adult(36-60)",B174&gt;18,"Young Adult(19-35)",B174&gt;12,"Adolescent(13-18)",B174&gt;0,"Child(&lt;13)")</f>
        <v>Child(&lt;13)</v>
      </c>
    </row>
    <row r="175" spans="1:12">
      <c r="A175" t="s">
        <v>10</v>
      </c>
      <c r="B175">
        <v>42</v>
      </c>
      <c r="C175">
        <v>0</v>
      </c>
      <c r="D175">
        <v>0</v>
      </c>
      <c r="E175">
        <v>1</v>
      </c>
      <c r="F175" t="s">
        <v>51</v>
      </c>
      <c r="G175" t="s">
        <v>17</v>
      </c>
      <c r="H175" t="s">
        <v>19</v>
      </c>
      <c r="I175" t="s">
        <v>14</v>
      </c>
      <c r="J175">
        <v>0</v>
      </c>
      <c r="K175" t="str">
        <f t="shared" si="2"/>
        <v>Not Affected</v>
      </c>
      <c r="L175" t="str" cm="1">
        <f t="array" ref="L175">_xlfn.IFS(B175&gt;60,"Older Adult(&gt;60)",B175&gt;35,"Middle-aged Adult(36-60)",B175&gt;18,"Young Adult(19-35)",B175&gt;12,"Adolescent(13-18)",B175&gt;0,"Child(&lt;13)")</f>
        <v>Middle-aged Adult(36-60)</v>
      </c>
    </row>
    <row r="176" spans="1:12">
      <c r="A176" t="s">
        <v>10</v>
      </c>
      <c r="B176">
        <v>17</v>
      </c>
      <c r="C176">
        <v>0</v>
      </c>
      <c r="D176">
        <v>0</v>
      </c>
      <c r="E176">
        <v>0</v>
      </c>
      <c r="F176" t="s">
        <v>25</v>
      </c>
      <c r="G176" t="s">
        <v>12</v>
      </c>
      <c r="H176" t="s">
        <v>13</v>
      </c>
      <c r="I176" t="s">
        <v>14</v>
      </c>
      <c r="J176">
        <v>0</v>
      </c>
      <c r="K176" t="str">
        <f t="shared" si="2"/>
        <v>Not Affected</v>
      </c>
      <c r="L176" t="str" cm="1">
        <f t="array" ref="L176">_xlfn.IFS(B176&gt;60,"Older Adult(&gt;60)",B176&gt;35,"Middle-aged Adult(36-60)",B176&gt;18,"Young Adult(19-35)",B176&gt;12,"Adolescent(13-18)",B176&gt;0,"Child(&lt;13)")</f>
        <v>Adolescent(13-18)</v>
      </c>
    </row>
    <row r="177" spans="1:12">
      <c r="A177" t="s">
        <v>10</v>
      </c>
      <c r="B177">
        <v>49</v>
      </c>
      <c r="C177">
        <v>0</v>
      </c>
      <c r="D177">
        <v>0</v>
      </c>
      <c r="E177">
        <v>0</v>
      </c>
      <c r="F177" t="s">
        <v>37</v>
      </c>
      <c r="G177" t="s">
        <v>17</v>
      </c>
      <c r="H177" t="s">
        <v>13</v>
      </c>
      <c r="I177" t="s">
        <v>14</v>
      </c>
      <c r="J177">
        <v>0</v>
      </c>
      <c r="K177" t="str">
        <f t="shared" si="2"/>
        <v>Not Affected</v>
      </c>
      <c r="L177" t="str" cm="1">
        <f t="array" ref="L177">_xlfn.IFS(B177&gt;60,"Older Adult(&gt;60)",B177&gt;35,"Middle-aged Adult(36-60)",B177&gt;18,"Young Adult(19-35)",B177&gt;12,"Adolescent(13-18)",B177&gt;0,"Child(&lt;13)")</f>
        <v>Middle-aged Adult(36-60)</v>
      </c>
    </row>
    <row r="178" spans="1:12">
      <c r="A178" t="s">
        <v>15</v>
      </c>
      <c r="B178">
        <v>14</v>
      </c>
      <c r="C178">
        <v>0</v>
      </c>
      <c r="D178">
        <v>0</v>
      </c>
      <c r="E178">
        <v>0</v>
      </c>
      <c r="F178" t="s">
        <v>50</v>
      </c>
      <c r="G178" t="s">
        <v>12</v>
      </c>
      <c r="H178" t="s">
        <v>19</v>
      </c>
      <c r="I178" t="s">
        <v>14</v>
      </c>
      <c r="J178">
        <v>0</v>
      </c>
      <c r="K178" t="str">
        <f t="shared" si="2"/>
        <v>Not Affected</v>
      </c>
      <c r="L178" t="str" cm="1">
        <f t="array" ref="L178">_xlfn.IFS(B178&gt;60,"Older Adult(&gt;60)",B178&gt;35,"Middle-aged Adult(36-60)",B178&gt;18,"Young Adult(19-35)",B178&gt;12,"Adolescent(13-18)",B178&gt;0,"Child(&lt;13)")</f>
        <v>Adolescent(13-18)</v>
      </c>
    </row>
    <row r="179" spans="1:12">
      <c r="A179" t="s">
        <v>10</v>
      </c>
      <c r="B179">
        <v>41</v>
      </c>
      <c r="C179">
        <v>0</v>
      </c>
      <c r="D179">
        <v>0</v>
      </c>
      <c r="E179">
        <v>0</v>
      </c>
      <c r="F179" t="s">
        <v>35</v>
      </c>
      <c r="G179" t="s">
        <v>17</v>
      </c>
      <c r="H179" t="s">
        <v>13</v>
      </c>
      <c r="I179" t="s">
        <v>14</v>
      </c>
      <c r="J179">
        <v>0</v>
      </c>
      <c r="K179" t="str">
        <f t="shared" si="2"/>
        <v>Not Affected</v>
      </c>
      <c r="L179" t="str" cm="1">
        <f t="array" ref="L179">_xlfn.IFS(B179&gt;60,"Older Adult(&gt;60)",B179&gt;35,"Middle-aged Adult(36-60)",B179&gt;18,"Young Adult(19-35)",B179&gt;12,"Adolescent(13-18)",B179&gt;0,"Child(&lt;13)")</f>
        <v>Middle-aged Adult(36-60)</v>
      </c>
    </row>
    <row r="180" spans="1:12">
      <c r="A180" t="s">
        <v>10</v>
      </c>
      <c r="B180">
        <v>27</v>
      </c>
      <c r="C180">
        <v>1</v>
      </c>
      <c r="D180">
        <v>1</v>
      </c>
      <c r="E180">
        <v>1</v>
      </c>
      <c r="F180" t="s">
        <v>53</v>
      </c>
      <c r="G180" t="s">
        <v>12</v>
      </c>
      <c r="H180" t="s">
        <v>19</v>
      </c>
      <c r="I180" t="s">
        <v>14</v>
      </c>
      <c r="J180">
        <v>1</v>
      </c>
      <c r="K180" t="str">
        <f t="shared" si="2"/>
        <v>Affected</v>
      </c>
      <c r="L180" t="str" cm="1">
        <f t="array" ref="L180">_xlfn.IFS(B180&gt;60,"Older Adult(&gt;60)",B180&gt;35,"Middle-aged Adult(36-60)",B180&gt;18,"Young Adult(19-35)",B180&gt;12,"Adolescent(13-18)",B180&gt;0,"Child(&lt;13)")</f>
        <v>Young Adult(19-35)</v>
      </c>
    </row>
    <row r="181" spans="1:12">
      <c r="A181" t="s">
        <v>15</v>
      </c>
      <c r="B181">
        <v>38</v>
      </c>
      <c r="C181">
        <v>1</v>
      </c>
      <c r="D181">
        <v>1</v>
      </c>
      <c r="E181">
        <v>0</v>
      </c>
      <c r="F181" t="s">
        <v>50</v>
      </c>
      <c r="G181" t="s">
        <v>17</v>
      </c>
      <c r="H181" t="s">
        <v>13</v>
      </c>
      <c r="I181" t="s">
        <v>14</v>
      </c>
      <c r="J181">
        <v>1</v>
      </c>
      <c r="K181" t="str">
        <f t="shared" si="2"/>
        <v>Affected</v>
      </c>
      <c r="L181" t="str" cm="1">
        <f t="array" ref="L181">_xlfn.IFS(B181&gt;60,"Older Adult(&gt;60)",B181&gt;35,"Middle-aged Adult(36-60)",B181&gt;18,"Young Adult(19-35)",B181&gt;12,"Adolescent(13-18)",B181&gt;0,"Child(&lt;13)")</f>
        <v>Middle-aged Adult(36-60)</v>
      </c>
    </row>
    <row r="182" spans="1:12">
      <c r="A182" t="s">
        <v>10</v>
      </c>
      <c r="B182">
        <v>14</v>
      </c>
      <c r="C182">
        <v>1</v>
      </c>
      <c r="D182">
        <v>1</v>
      </c>
      <c r="E182">
        <v>0</v>
      </c>
      <c r="F182" t="s">
        <v>52</v>
      </c>
      <c r="G182" t="s">
        <v>12</v>
      </c>
      <c r="H182" t="s">
        <v>19</v>
      </c>
      <c r="I182" t="s">
        <v>14</v>
      </c>
      <c r="J182">
        <v>1</v>
      </c>
      <c r="K182" t="str">
        <f t="shared" si="2"/>
        <v>Affected</v>
      </c>
      <c r="L182" t="str" cm="1">
        <f t="array" ref="L182">_xlfn.IFS(B182&gt;60,"Older Adult(&gt;60)",B182&gt;35,"Middle-aged Adult(36-60)",B182&gt;18,"Young Adult(19-35)",B182&gt;12,"Adolescent(13-18)",B182&gt;0,"Child(&lt;13)")</f>
        <v>Adolescent(13-18)</v>
      </c>
    </row>
    <row r="183" spans="1:12">
      <c r="A183" t="s">
        <v>15</v>
      </c>
      <c r="B183">
        <v>28</v>
      </c>
      <c r="C183">
        <v>0</v>
      </c>
      <c r="D183">
        <v>0</v>
      </c>
      <c r="E183">
        <v>1</v>
      </c>
      <c r="F183" t="s">
        <v>50</v>
      </c>
      <c r="G183" t="s">
        <v>17</v>
      </c>
      <c r="H183" t="s">
        <v>24</v>
      </c>
      <c r="I183" t="s">
        <v>14</v>
      </c>
      <c r="J183">
        <v>0</v>
      </c>
      <c r="K183" t="str">
        <f t="shared" si="2"/>
        <v>Not Affected</v>
      </c>
      <c r="L183" t="str" cm="1">
        <f t="array" ref="L183">_xlfn.IFS(B183&gt;60,"Older Adult(&gt;60)",B183&gt;35,"Middle-aged Adult(36-60)",B183&gt;18,"Young Adult(19-35)",B183&gt;12,"Adolescent(13-18)",B183&gt;0,"Child(&lt;13)")</f>
        <v>Young Adult(19-35)</v>
      </c>
    </row>
    <row r="184" spans="1:12">
      <c r="A184" t="s">
        <v>15</v>
      </c>
      <c r="B184">
        <v>35</v>
      </c>
      <c r="C184">
        <v>1</v>
      </c>
      <c r="D184">
        <v>1</v>
      </c>
      <c r="E184">
        <v>1</v>
      </c>
      <c r="F184" t="s">
        <v>53</v>
      </c>
      <c r="G184" t="s">
        <v>12</v>
      </c>
      <c r="H184" t="s">
        <v>13</v>
      </c>
      <c r="I184" t="s">
        <v>14</v>
      </c>
      <c r="J184">
        <v>1</v>
      </c>
      <c r="K184" t="str">
        <f t="shared" si="2"/>
        <v>Affected</v>
      </c>
      <c r="L184" t="str" cm="1">
        <f t="array" ref="L184">_xlfn.IFS(B184&gt;60,"Older Adult(&gt;60)",B184&gt;35,"Middle-aged Adult(36-60)",B184&gt;18,"Young Adult(19-35)",B184&gt;12,"Adolescent(13-18)",B184&gt;0,"Child(&lt;13)")</f>
        <v>Young Adult(19-35)</v>
      </c>
    </row>
    <row r="185" spans="1:12">
      <c r="A185" t="s">
        <v>15</v>
      </c>
      <c r="B185">
        <v>59</v>
      </c>
      <c r="C185">
        <v>0</v>
      </c>
      <c r="D185">
        <v>0</v>
      </c>
      <c r="E185">
        <v>1</v>
      </c>
      <c r="F185" t="s">
        <v>53</v>
      </c>
      <c r="G185" t="s">
        <v>17</v>
      </c>
      <c r="H185" t="s">
        <v>13</v>
      </c>
      <c r="I185" t="s">
        <v>14</v>
      </c>
      <c r="J185">
        <v>0</v>
      </c>
      <c r="K185" t="str">
        <f t="shared" si="2"/>
        <v>Not Affected</v>
      </c>
      <c r="L185" t="str" cm="1">
        <f t="array" ref="L185">_xlfn.IFS(B185&gt;60,"Older Adult(&gt;60)",B185&gt;35,"Middle-aged Adult(36-60)",B185&gt;18,"Young Adult(19-35)",B185&gt;12,"Adolescent(13-18)",B185&gt;0,"Child(&lt;13)")</f>
        <v>Middle-aged Adult(36-60)</v>
      </c>
    </row>
    <row r="186" spans="1:12">
      <c r="A186" t="s">
        <v>10</v>
      </c>
      <c r="B186">
        <v>58</v>
      </c>
      <c r="C186">
        <v>1</v>
      </c>
      <c r="D186">
        <v>1</v>
      </c>
      <c r="E186">
        <v>1</v>
      </c>
      <c r="F186" t="s">
        <v>43</v>
      </c>
      <c r="G186" t="s">
        <v>12</v>
      </c>
      <c r="H186" t="s">
        <v>13</v>
      </c>
      <c r="I186" t="s">
        <v>14</v>
      </c>
      <c r="J186">
        <v>1</v>
      </c>
      <c r="K186" t="str">
        <f t="shared" si="2"/>
        <v>Affected</v>
      </c>
      <c r="L186" t="str" cm="1">
        <f t="array" ref="L186">_xlfn.IFS(B186&gt;60,"Older Adult(&gt;60)",B186&gt;35,"Middle-aged Adult(36-60)",B186&gt;18,"Young Adult(19-35)",B186&gt;12,"Adolescent(13-18)",B186&gt;0,"Child(&lt;13)")</f>
        <v>Middle-aged Adult(36-60)</v>
      </c>
    </row>
    <row r="187" spans="1:12">
      <c r="A187" t="s">
        <v>15</v>
      </c>
      <c r="B187">
        <v>40</v>
      </c>
      <c r="C187">
        <v>0</v>
      </c>
      <c r="D187">
        <v>0</v>
      </c>
      <c r="E187">
        <v>1</v>
      </c>
      <c r="F187" t="s">
        <v>48</v>
      </c>
      <c r="G187" t="s">
        <v>17</v>
      </c>
      <c r="H187" t="s">
        <v>13</v>
      </c>
      <c r="I187" t="s">
        <v>14</v>
      </c>
      <c r="J187">
        <v>0</v>
      </c>
      <c r="K187" t="str">
        <f t="shared" si="2"/>
        <v>Not Affected</v>
      </c>
      <c r="L187" t="str" cm="1">
        <f t="array" ref="L187">_xlfn.IFS(B187&gt;60,"Older Adult(&gt;60)",B187&gt;35,"Middle-aged Adult(36-60)",B187&gt;18,"Young Adult(19-35)",B187&gt;12,"Adolescent(13-18)",B187&gt;0,"Child(&lt;13)")</f>
        <v>Middle-aged Adult(36-60)</v>
      </c>
    </row>
    <row r="188" spans="1:12">
      <c r="A188" t="s">
        <v>15</v>
      </c>
      <c r="B188">
        <v>25</v>
      </c>
      <c r="C188">
        <v>0</v>
      </c>
      <c r="D188">
        <v>0</v>
      </c>
      <c r="E188">
        <v>1</v>
      </c>
      <c r="F188" t="s">
        <v>18</v>
      </c>
      <c r="G188" t="s">
        <v>12</v>
      </c>
      <c r="H188" t="s">
        <v>24</v>
      </c>
      <c r="I188" t="s">
        <v>14</v>
      </c>
      <c r="J188">
        <v>0</v>
      </c>
      <c r="K188" t="str">
        <f t="shared" si="2"/>
        <v>Not Affected</v>
      </c>
      <c r="L188" t="str" cm="1">
        <f t="array" ref="L188">_xlfn.IFS(B188&gt;60,"Older Adult(&gt;60)",B188&gt;35,"Middle-aged Adult(36-60)",B188&gt;18,"Young Adult(19-35)",B188&gt;12,"Adolescent(13-18)",B188&gt;0,"Child(&lt;13)")</f>
        <v>Young Adult(19-35)</v>
      </c>
    </row>
    <row r="189" spans="1:12">
      <c r="A189" t="s">
        <v>15</v>
      </c>
      <c r="B189">
        <v>63</v>
      </c>
      <c r="C189">
        <v>0</v>
      </c>
      <c r="D189">
        <v>0</v>
      </c>
      <c r="E189">
        <v>1</v>
      </c>
      <c r="F189" t="s">
        <v>40</v>
      </c>
      <c r="G189" t="s">
        <v>17</v>
      </c>
      <c r="H189" t="s">
        <v>19</v>
      </c>
      <c r="I189" t="s">
        <v>14</v>
      </c>
      <c r="J189">
        <v>0</v>
      </c>
      <c r="K189" t="str">
        <f t="shared" si="2"/>
        <v>Not Affected</v>
      </c>
      <c r="L189" t="str" cm="1">
        <f t="array" ref="L189">_xlfn.IFS(B189&gt;60,"Older Adult(&gt;60)",B189&gt;35,"Middle-aged Adult(36-60)",B189&gt;18,"Young Adult(19-35)",B189&gt;12,"Adolescent(13-18)",B189&gt;0,"Child(&lt;13)")</f>
        <v>Older Adult(&gt;60)</v>
      </c>
    </row>
    <row r="190" spans="1:12">
      <c r="A190" t="s">
        <v>10</v>
      </c>
      <c r="B190">
        <v>48</v>
      </c>
      <c r="C190">
        <v>1</v>
      </c>
      <c r="D190">
        <v>1</v>
      </c>
      <c r="E190">
        <v>0</v>
      </c>
      <c r="F190" t="s">
        <v>42</v>
      </c>
      <c r="G190" t="s">
        <v>12</v>
      </c>
      <c r="H190" t="s">
        <v>13</v>
      </c>
      <c r="I190" t="s">
        <v>14</v>
      </c>
      <c r="J190">
        <v>1</v>
      </c>
      <c r="K190" t="str">
        <f t="shared" si="2"/>
        <v>Affected</v>
      </c>
      <c r="L190" t="str" cm="1">
        <f t="array" ref="L190">_xlfn.IFS(B190&gt;60,"Older Adult(&gt;60)",B190&gt;35,"Middle-aged Adult(36-60)",B190&gt;18,"Young Adult(19-35)",B190&gt;12,"Adolescent(13-18)",B190&gt;0,"Child(&lt;13)")</f>
        <v>Middle-aged Adult(36-60)</v>
      </c>
    </row>
    <row r="191" spans="1:12">
      <c r="A191" t="s">
        <v>15</v>
      </c>
      <c r="B191">
        <v>15</v>
      </c>
      <c r="C191">
        <v>1</v>
      </c>
      <c r="D191">
        <v>1</v>
      </c>
      <c r="E191">
        <v>1</v>
      </c>
      <c r="F191" t="s">
        <v>27</v>
      </c>
      <c r="G191" t="s">
        <v>17</v>
      </c>
      <c r="H191" t="s">
        <v>24</v>
      </c>
      <c r="I191" t="s">
        <v>14</v>
      </c>
      <c r="J191">
        <v>1</v>
      </c>
      <c r="K191" t="str">
        <f t="shared" si="2"/>
        <v>Affected</v>
      </c>
      <c r="L191" t="str" cm="1">
        <f t="array" ref="L191">_xlfn.IFS(B191&gt;60,"Older Adult(&gt;60)",B191&gt;35,"Middle-aged Adult(36-60)",B191&gt;18,"Young Adult(19-35)",B191&gt;12,"Adolescent(13-18)",B191&gt;0,"Child(&lt;13)")</f>
        <v>Adolescent(13-18)</v>
      </c>
    </row>
    <row r="192" spans="1:12">
      <c r="A192" t="s">
        <v>15</v>
      </c>
      <c r="B192">
        <v>60</v>
      </c>
      <c r="C192">
        <v>0</v>
      </c>
      <c r="D192">
        <v>0</v>
      </c>
      <c r="E192">
        <v>1</v>
      </c>
      <c r="F192" t="s">
        <v>49</v>
      </c>
      <c r="G192" t="s">
        <v>12</v>
      </c>
      <c r="H192" t="s">
        <v>19</v>
      </c>
      <c r="I192" t="s">
        <v>14</v>
      </c>
      <c r="J192">
        <v>0</v>
      </c>
      <c r="K192" t="str">
        <f t="shared" si="2"/>
        <v>Not Affected</v>
      </c>
      <c r="L192" t="str" cm="1">
        <f t="array" ref="L192">_xlfn.IFS(B192&gt;60,"Older Adult(&gt;60)",B192&gt;35,"Middle-aged Adult(36-60)",B192&gt;18,"Young Adult(19-35)",B192&gt;12,"Adolescent(13-18)",B192&gt;0,"Child(&lt;13)")</f>
        <v>Middle-aged Adult(36-60)</v>
      </c>
    </row>
    <row r="193" spans="1:12">
      <c r="A193" t="s">
        <v>10</v>
      </c>
      <c r="B193">
        <v>13</v>
      </c>
      <c r="C193">
        <v>0</v>
      </c>
      <c r="D193">
        <v>0</v>
      </c>
      <c r="E193">
        <v>1</v>
      </c>
      <c r="F193" t="s">
        <v>44</v>
      </c>
      <c r="G193" t="s">
        <v>17</v>
      </c>
      <c r="H193" t="s">
        <v>24</v>
      </c>
      <c r="I193" t="s">
        <v>14</v>
      </c>
      <c r="J193">
        <v>0</v>
      </c>
      <c r="K193" t="str">
        <f t="shared" si="2"/>
        <v>Not Affected</v>
      </c>
      <c r="L193" t="str" cm="1">
        <f t="array" ref="L193">_xlfn.IFS(B193&gt;60,"Older Adult(&gt;60)",B193&gt;35,"Middle-aged Adult(36-60)",B193&gt;18,"Young Adult(19-35)",B193&gt;12,"Adolescent(13-18)",B193&gt;0,"Child(&lt;13)")</f>
        <v>Adolescent(13-18)</v>
      </c>
    </row>
    <row r="194" spans="1:12">
      <c r="A194" t="s">
        <v>10</v>
      </c>
      <c r="B194">
        <v>58</v>
      </c>
      <c r="C194">
        <v>0</v>
      </c>
      <c r="D194">
        <v>0</v>
      </c>
      <c r="E194">
        <v>1</v>
      </c>
      <c r="F194" t="s">
        <v>34</v>
      </c>
      <c r="G194" t="s">
        <v>12</v>
      </c>
      <c r="H194" t="s">
        <v>24</v>
      </c>
      <c r="I194" t="s">
        <v>14</v>
      </c>
      <c r="J194">
        <v>0</v>
      </c>
      <c r="K194" t="str">
        <f t="shared" si="2"/>
        <v>Not Affected</v>
      </c>
      <c r="L194" t="str" cm="1">
        <f t="array" ref="L194">_xlfn.IFS(B194&gt;60,"Older Adult(&gt;60)",B194&gt;35,"Middle-aged Adult(36-60)",B194&gt;18,"Young Adult(19-35)",B194&gt;12,"Adolescent(13-18)",B194&gt;0,"Child(&lt;13)")</f>
        <v>Middle-aged Adult(36-60)</v>
      </c>
    </row>
    <row r="195" spans="1:12">
      <c r="A195" t="s">
        <v>15</v>
      </c>
      <c r="B195">
        <v>53</v>
      </c>
      <c r="C195">
        <v>1</v>
      </c>
      <c r="D195">
        <v>1</v>
      </c>
      <c r="E195">
        <v>1</v>
      </c>
      <c r="F195" t="s">
        <v>22</v>
      </c>
      <c r="G195" t="s">
        <v>17</v>
      </c>
      <c r="H195" t="s">
        <v>19</v>
      </c>
      <c r="I195" t="s">
        <v>14</v>
      </c>
      <c r="J195">
        <v>1</v>
      </c>
      <c r="K195" t="str">
        <f t="shared" ref="K195:K258" si="3">IF(J195=0, "Not Affected", "Affected")</f>
        <v>Affected</v>
      </c>
      <c r="L195" t="str" cm="1">
        <f t="array" ref="L195">_xlfn.IFS(B195&gt;60,"Older Adult(&gt;60)",B195&gt;35,"Middle-aged Adult(36-60)",B195&gt;18,"Young Adult(19-35)",B195&gt;12,"Adolescent(13-18)",B195&gt;0,"Child(&lt;13)")</f>
        <v>Middle-aged Adult(36-60)</v>
      </c>
    </row>
    <row r="196" spans="1:12">
      <c r="A196" t="s">
        <v>15</v>
      </c>
      <c r="B196">
        <v>61</v>
      </c>
      <c r="C196">
        <v>1</v>
      </c>
      <c r="D196">
        <v>1</v>
      </c>
      <c r="E196">
        <v>1</v>
      </c>
      <c r="F196" t="s">
        <v>49</v>
      </c>
      <c r="G196" t="s">
        <v>12</v>
      </c>
      <c r="H196" t="s">
        <v>24</v>
      </c>
      <c r="I196" t="s">
        <v>14</v>
      </c>
      <c r="J196">
        <v>1</v>
      </c>
      <c r="K196" t="str">
        <f t="shared" si="3"/>
        <v>Affected</v>
      </c>
      <c r="L196" t="str" cm="1">
        <f t="array" ref="L196">_xlfn.IFS(B196&gt;60,"Older Adult(&gt;60)",B196&gt;35,"Middle-aged Adult(36-60)",B196&gt;18,"Young Adult(19-35)",B196&gt;12,"Adolescent(13-18)",B196&gt;0,"Child(&lt;13)")</f>
        <v>Older Adult(&gt;60)</v>
      </c>
    </row>
    <row r="197" spans="1:12">
      <c r="A197" t="s">
        <v>10</v>
      </c>
      <c r="B197">
        <v>44</v>
      </c>
      <c r="C197">
        <v>0</v>
      </c>
      <c r="D197">
        <v>0</v>
      </c>
      <c r="E197">
        <v>1</v>
      </c>
      <c r="F197" t="s">
        <v>49</v>
      </c>
      <c r="G197" t="s">
        <v>17</v>
      </c>
      <c r="H197" t="s">
        <v>19</v>
      </c>
      <c r="I197" t="s">
        <v>14</v>
      </c>
      <c r="J197">
        <v>0</v>
      </c>
      <c r="K197" t="str">
        <f t="shared" si="3"/>
        <v>Not Affected</v>
      </c>
      <c r="L197" t="str" cm="1">
        <f t="array" ref="L197">_xlfn.IFS(B197&gt;60,"Older Adult(&gt;60)",B197&gt;35,"Middle-aged Adult(36-60)",B197&gt;18,"Young Adult(19-35)",B197&gt;12,"Adolescent(13-18)",B197&gt;0,"Child(&lt;13)")</f>
        <v>Middle-aged Adult(36-60)</v>
      </c>
    </row>
    <row r="198" spans="1:12">
      <c r="A198" t="s">
        <v>10</v>
      </c>
      <c r="B198">
        <v>40</v>
      </c>
      <c r="C198">
        <v>0</v>
      </c>
      <c r="D198">
        <v>0</v>
      </c>
      <c r="E198">
        <v>0</v>
      </c>
      <c r="F198" t="s">
        <v>48</v>
      </c>
      <c r="G198" t="s">
        <v>12</v>
      </c>
      <c r="H198" t="s">
        <v>24</v>
      </c>
      <c r="I198" t="s">
        <v>14</v>
      </c>
      <c r="J198">
        <v>0</v>
      </c>
      <c r="K198" t="str">
        <f t="shared" si="3"/>
        <v>Not Affected</v>
      </c>
      <c r="L198" t="str" cm="1">
        <f t="array" ref="L198">_xlfn.IFS(B198&gt;60,"Older Adult(&gt;60)",B198&gt;35,"Middle-aged Adult(36-60)",B198&gt;18,"Young Adult(19-35)",B198&gt;12,"Adolescent(13-18)",B198&gt;0,"Child(&lt;13)")</f>
        <v>Middle-aged Adult(36-60)</v>
      </c>
    </row>
    <row r="199" spans="1:12">
      <c r="A199" t="s">
        <v>15</v>
      </c>
      <c r="B199">
        <v>49</v>
      </c>
      <c r="C199">
        <v>0</v>
      </c>
      <c r="D199">
        <v>0</v>
      </c>
      <c r="E199">
        <v>0</v>
      </c>
      <c r="F199" t="s">
        <v>22</v>
      </c>
      <c r="G199" t="s">
        <v>17</v>
      </c>
      <c r="H199" t="s">
        <v>24</v>
      </c>
      <c r="I199" t="s">
        <v>14</v>
      </c>
      <c r="J199">
        <v>0</v>
      </c>
      <c r="K199" t="str">
        <f t="shared" si="3"/>
        <v>Not Affected</v>
      </c>
      <c r="L199" t="str" cm="1">
        <f t="array" ref="L199">_xlfn.IFS(B199&gt;60,"Older Adult(&gt;60)",B199&gt;35,"Middle-aged Adult(36-60)",B199&gt;18,"Young Adult(19-35)",B199&gt;12,"Adolescent(13-18)",B199&gt;0,"Child(&lt;13)")</f>
        <v>Middle-aged Adult(36-60)</v>
      </c>
    </row>
    <row r="200" spans="1:12">
      <c r="A200" t="s">
        <v>15</v>
      </c>
      <c r="B200">
        <v>56</v>
      </c>
      <c r="C200">
        <v>1</v>
      </c>
      <c r="D200">
        <v>1</v>
      </c>
      <c r="E200">
        <v>0</v>
      </c>
      <c r="F200" t="s">
        <v>28</v>
      </c>
      <c r="G200" t="s">
        <v>12</v>
      </c>
      <c r="H200" t="s">
        <v>13</v>
      </c>
      <c r="I200" t="s">
        <v>14</v>
      </c>
      <c r="J200">
        <v>1</v>
      </c>
      <c r="K200" t="str">
        <f t="shared" si="3"/>
        <v>Affected</v>
      </c>
      <c r="L200" t="str" cm="1">
        <f t="array" ref="L200">_xlfn.IFS(B200&gt;60,"Older Adult(&gt;60)",B200&gt;35,"Middle-aged Adult(36-60)",B200&gt;18,"Young Adult(19-35)",B200&gt;12,"Adolescent(13-18)",B200&gt;0,"Child(&lt;13)")</f>
        <v>Middle-aged Adult(36-60)</v>
      </c>
    </row>
    <row r="201" spans="1:12">
      <c r="A201" t="s">
        <v>10</v>
      </c>
      <c r="B201">
        <v>28</v>
      </c>
      <c r="C201">
        <v>0</v>
      </c>
      <c r="D201">
        <v>0</v>
      </c>
      <c r="E201">
        <v>1</v>
      </c>
      <c r="F201" t="s">
        <v>50</v>
      </c>
      <c r="G201" t="s">
        <v>17</v>
      </c>
      <c r="H201" t="s">
        <v>13</v>
      </c>
      <c r="I201" t="s">
        <v>14</v>
      </c>
      <c r="J201">
        <v>0</v>
      </c>
      <c r="K201" t="str">
        <f t="shared" si="3"/>
        <v>Not Affected</v>
      </c>
      <c r="L201" t="str" cm="1">
        <f t="array" ref="L201">_xlfn.IFS(B201&gt;60,"Older Adult(&gt;60)",B201&gt;35,"Middle-aged Adult(36-60)",B201&gt;18,"Young Adult(19-35)",B201&gt;12,"Adolescent(13-18)",B201&gt;0,"Child(&lt;13)")</f>
        <v>Young Adult(19-35)</v>
      </c>
    </row>
    <row r="202" spans="1:12">
      <c r="A202" t="s">
        <v>15</v>
      </c>
      <c r="B202">
        <v>40</v>
      </c>
      <c r="C202">
        <v>0</v>
      </c>
      <c r="D202">
        <v>0</v>
      </c>
      <c r="E202">
        <v>0</v>
      </c>
      <c r="F202" t="s">
        <v>51</v>
      </c>
      <c r="G202" t="s">
        <v>12</v>
      </c>
      <c r="H202" t="s">
        <v>24</v>
      </c>
      <c r="I202" t="s">
        <v>14</v>
      </c>
      <c r="J202">
        <v>0</v>
      </c>
      <c r="K202" t="str">
        <f t="shared" si="3"/>
        <v>Not Affected</v>
      </c>
      <c r="L202" t="str" cm="1">
        <f t="array" ref="L202">_xlfn.IFS(B202&gt;60,"Older Adult(&gt;60)",B202&gt;35,"Middle-aged Adult(36-60)",B202&gt;18,"Young Adult(19-35)",B202&gt;12,"Adolescent(13-18)",B202&gt;0,"Child(&lt;13)")</f>
        <v>Middle-aged Adult(36-60)</v>
      </c>
    </row>
    <row r="203" spans="1:12">
      <c r="A203" t="s">
        <v>15</v>
      </c>
      <c r="B203">
        <v>25</v>
      </c>
      <c r="C203">
        <v>1</v>
      </c>
      <c r="D203">
        <v>1</v>
      </c>
      <c r="E203">
        <v>0</v>
      </c>
      <c r="F203" t="s">
        <v>53</v>
      </c>
      <c r="G203" t="s">
        <v>17</v>
      </c>
      <c r="H203" t="s">
        <v>24</v>
      </c>
      <c r="I203" t="s">
        <v>14</v>
      </c>
      <c r="J203">
        <v>1</v>
      </c>
      <c r="K203" t="str">
        <f t="shared" si="3"/>
        <v>Affected</v>
      </c>
      <c r="L203" t="str" cm="1">
        <f t="array" ref="L203">_xlfn.IFS(B203&gt;60,"Older Adult(&gt;60)",B203&gt;35,"Middle-aged Adult(36-60)",B203&gt;18,"Young Adult(19-35)",B203&gt;12,"Adolescent(13-18)",B203&gt;0,"Child(&lt;13)")</f>
        <v>Young Adult(19-35)</v>
      </c>
    </row>
    <row r="204" spans="1:12">
      <c r="A204" t="s">
        <v>10</v>
      </c>
      <c r="B204">
        <v>52</v>
      </c>
      <c r="C204">
        <v>0</v>
      </c>
      <c r="D204">
        <v>0</v>
      </c>
      <c r="E204">
        <v>0</v>
      </c>
      <c r="F204" t="s">
        <v>18</v>
      </c>
      <c r="G204" t="s">
        <v>12</v>
      </c>
      <c r="H204" t="s">
        <v>13</v>
      </c>
      <c r="I204" t="s">
        <v>14</v>
      </c>
      <c r="J204">
        <v>0</v>
      </c>
      <c r="K204" t="str">
        <f t="shared" si="3"/>
        <v>Not Affected</v>
      </c>
      <c r="L204" t="str" cm="1">
        <f t="array" ref="L204">_xlfn.IFS(B204&gt;60,"Older Adult(&gt;60)",B204&gt;35,"Middle-aged Adult(36-60)",B204&gt;18,"Young Adult(19-35)",B204&gt;12,"Adolescent(13-18)",B204&gt;0,"Child(&lt;13)")</f>
        <v>Middle-aged Adult(36-60)</v>
      </c>
    </row>
    <row r="205" spans="1:12">
      <c r="A205" t="s">
        <v>10</v>
      </c>
      <c r="B205">
        <v>60</v>
      </c>
      <c r="C205">
        <v>0</v>
      </c>
      <c r="D205">
        <v>0</v>
      </c>
      <c r="E205">
        <v>0</v>
      </c>
      <c r="F205" t="s">
        <v>44</v>
      </c>
      <c r="G205" t="s">
        <v>17</v>
      </c>
      <c r="H205" t="s">
        <v>19</v>
      </c>
      <c r="I205" t="s">
        <v>14</v>
      </c>
      <c r="J205">
        <v>0</v>
      </c>
      <c r="K205" t="str">
        <f t="shared" si="3"/>
        <v>Not Affected</v>
      </c>
      <c r="L205" t="str" cm="1">
        <f t="array" ref="L205">_xlfn.IFS(B205&gt;60,"Older Adult(&gt;60)",B205&gt;35,"Middle-aged Adult(36-60)",B205&gt;18,"Young Adult(19-35)",B205&gt;12,"Adolescent(13-18)",B205&gt;0,"Child(&lt;13)")</f>
        <v>Middle-aged Adult(36-60)</v>
      </c>
    </row>
    <row r="206" spans="1:12">
      <c r="A206" t="s">
        <v>10</v>
      </c>
      <c r="B206">
        <v>59</v>
      </c>
      <c r="C206">
        <v>0</v>
      </c>
      <c r="D206">
        <v>0</v>
      </c>
      <c r="E206">
        <v>1</v>
      </c>
      <c r="F206" t="s">
        <v>31</v>
      </c>
      <c r="G206" t="s">
        <v>12</v>
      </c>
      <c r="H206" t="s">
        <v>13</v>
      </c>
      <c r="I206" t="s">
        <v>14</v>
      </c>
      <c r="J206">
        <v>0</v>
      </c>
      <c r="K206" t="str">
        <f t="shared" si="3"/>
        <v>Not Affected</v>
      </c>
      <c r="L206" t="str" cm="1">
        <f t="array" ref="L206">_xlfn.IFS(B206&gt;60,"Older Adult(&gt;60)",B206&gt;35,"Middle-aged Adult(36-60)",B206&gt;18,"Young Adult(19-35)",B206&gt;12,"Adolescent(13-18)",B206&gt;0,"Child(&lt;13)")</f>
        <v>Middle-aged Adult(36-60)</v>
      </c>
    </row>
    <row r="207" spans="1:12">
      <c r="A207" t="s">
        <v>10</v>
      </c>
      <c r="B207">
        <v>35</v>
      </c>
      <c r="C207">
        <v>1</v>
      </c>
      <c r="D207">
        <v>1</v>
      </c>
      <c r="E207">
        <v>0</v>
      </c>
      <c r="F207" t="s">
        <v>36</v>
      </c>
      <c r="G207" t="s">
        <v>17</v>
      </c>
      <c r="H207" t="s">
        <v>13</v>
      </c>
      <c r="I207" t="s">
        <v>14</v>
      </c>
      <c r="J207">
        <v>1</v>
      </c>
      <c r="K207" t="str">
        <f t="shared" si="3"/>
        <v>Affected</v>
      </c>
      <c r="L207" t="str" cm="1">
        <f t="array" ref="L207">_xlfn.IFS(B207&gt;60,"Older Adult(&gt;60)",B207&gt;35,"Middle-aged Adult(36-60)",B207&gt;18,"Young Adult(19-35)",B207&gt;12,"Adolescent(13-18)",B207&gt;0,"Child(&lt;13)")</f>
        <v>Young Adult(19-35)</v>
      </c>
    </row>
    <row r="208" spans="1:12">
      <c r="A208" t="s">
        <v>10</v>
      </c>
      <c r="B208">
        <v>48</v>
      </c>
      <c r="C208">
        <v>1</v>
      </c>
      <c r="D208">
        <v>1</v>
      </c>
      <c r="E208">
        <v>1</v>
      </c>
      <c r="F208" t="s">
        <v>48</v>
      </c>
      <c r="G208" t="s">
        <v>12</v>
      </c>
      <c r="H208" t="s">
        <v>19</v>
      </c>
      <c r="I208" t="s">
        <v>14</v>
      </c>
      <c r="J208">
        <v>1</v>
      </c>
      <c r="K208" t="str">
        <f t="shared" si="3"/>
        <v>Affected</v>
      </c>
      <c r="L208" t="str" cm="1">
        <f t="array" ref="L208">_xlfn.IFS(B208&gt;60,"Older Adult(&gt;60)",B208&gt;35,"Middle-aged Adult(36-60)",B208&gt;18,"Young Adult(19-35)",B208&gt;12,"Adolescent(13-18)",B208&gt;0,"Child(&lt;13)")</f>
        <v>Middle-aged Adult(36-60)</v>
      </c>
    </row>
    <row r="209" spans="1:12">
      <c r="A209" t="s">
        <v>15</v>
      </c>
      <c r="B209">
        <v>31</v>
      </c>
      <c r="C209">
        <v>1</v>
      </c>
      <c r="D209">
        <v>1</v>
      </c>
      <c r="E209">
        <v>1</v>
      </c>
      <c r="F209" t="s">
        <v>18</v>
      </c>
      <c r="G209" t="s">
        <v>17</v>
      </c>
      <c r="H209" t="s">
        <v>19</v>
      </c>
      <c r="I209" t="s">
        <v>14</v>
      </c>
      <c r="J209">
        <v>1</v>
      </c>
      <c r="K209" t="str">
        <f t="shared" si="3"/>
        <v>Affected</v>
      </c>
      <c r="L209" t="str" cm="1">
        <f t="array" ref="L209">_xlfn.IFS(B209&gt;60,"Older Adult(&gt;60)",B209&gt;35,"Middle-aged Adult(36-60)",B209&gt;18,"Young Adult(19-35)",B209&gt;12,"Adolescent(13-18)",B209&gt;0,"Child(&lt;13)")</f>
        <v>Young Adult(19-35)</v>
      </c>
    </row>
    <row r="210" spans="1:12">
      <c r="A210" t="s">
        <v>15</v>
      </c>
      <c r="B210">
        <v>33</v>
      </c>
      <c r="C210">
        <v>1</v>
      </c>
      <c r="D210">
        <v>1</v>
      </c>
      <c r="E210">
        <v>0</v>
      </c>
      <c r="F210" t="s">
        <v>41</v>
      </c>
      <c r="G210" t="s">
        <v>12</v>
      </c>
      <c r="H210" t="s">
        <v>24</v>
      </c>
      <c r="I210" t="s">
        <v>14</v>
      </c>
      <c r="J210">
        <v>1</v>
      </c>
      <c r="K210" t="str">
        <f t="shared" si="3"/>
        <v>Affected</v>
      </c>
      <c r="L210" t="str" cm="1">
        <f t="array" ref="L210">_xlfn.IFS(B210&gt;60,"Older Adult(&gt;60)",B210&gt;35,"Middle-aged Adult(36-60)",B210&gt;18,"Young Adult(19-35)",B210&gt;12,"Adolescent(13-18)",B210&gt;0,"Child(&lt;13)")</f>
        <v>Young Adult(19-35)</v>
      </c>
    </row>
    <row r="211" spans="1:12">
      <c r="A211" t="s">
        <v>10</v>
      </c>
      <c r="B211">
        <v>39</v>
      </c>
      <c r="C211">
        <v>1</v>
      </c>
      <c r="D211">
        <v>1</v>
      </c>
      <c r="E211">
        <v>1</v>
      </c>
      <c r="F211" t="s">
        <v>23</v>
      </c>
      <c r="G211" t="s">
        <v>17</v>
      </c>
      <c r="H211" t="s">
        <v>13</v>
      </c>
      <c r="I211" t="s">
        <v>14</v>
      </c>
      <c r="J211">
        <v>1</v>
      </c>
      <c r="K211" t="str">
        <f t="shared" si="3"/>
        <v>Affected</v>
      </c>
      <c r="L211" t="str" cm="1">
        <f t="array" ref="L211">_xlfn.IFS(B211&gt;60,"Older Adult(&gt;60)",B211&gt;35,"Middle-aged Adult(36-60)",B211&gt;18,"Young Adult(19-35)",B211&gt;12,"Adolescent(13-18)",B211&gt;0,"Child(&lt;13)")</f>
        <v>Middle-aged Adult(36-60)</v>
      </c>
    </row>
    <row r="212" spans="1:12">
      <c r="A212" t="s">
        <v>15</v>
      </c>
      <c r="B212">
        <v>34</v>
      </c>
      <c r="C212">
        <v>0</v>
      </c>
      <c r="D212">
        <v>0</v>
      </c>
      <c r="E212">
        <v>0</v>
      </c>
      <c r="F212" t="s">
        <v>38</v>
      </c>
      <c r="G212" t="s">
        <v>12</v>
      </c>
      <c r="H212" t="s">
        <v>19</v>
      </c>
      <c r="I212" t="s">
        <v>14</v>
      </c>
      <c r="J212">
        <v>0</v>
      </c>
      <c r="K212" t="str">
        <f t="shared" si="3"/>
        <v>Not Affected</v>
      </c>
      <c r="L212" t="str" cm="1">
        <f t="array" ref="L212">_xlfn.IFS(B212&gt;60,"Older Adult(&gt;60)",B212&gt;35,"Middle-aged Adult(36-60)",B212&gt;18,"Young Adult(19-35)",B212&gt;12,"Adolescent(13-18)",B212&gt;0,"Child(&lt;13)")</f>
        <v>Young Adult(19-35)</v>
      </c>
    </row>
    <row r="213" spans="1:12">
      <c r="A213" t="s">
        <v>10</v>
      </c>
      <c r="B213">
        <v>33</v>
      </c>
      <c r="C213">
        <v>1</v>
      </c>
      <c r="D213">
        <v>1</v>
      </c>
      <c r="E213">
        <v>1</v>
      </c>
      <c r="F213" t="s">
        <v>50</v>
      </c>
      <c r="G213" t="s">
        <v>17</v>
      </c>
      <c r="H213" t="s">
        <v>19</v>
      </c>
      <c r="I213" t="s">
        <v>14</v>
      </c>
      <c r="J213">
        <v>1</v>
      </c>
      <c r="K213" t="str">
        <f t="shared" si="3"/>
        <v>Affected</v>
      </c>
      <c r="L213" t="str" cm="1">
        <f t="array" ref="L213">_xlfn.IFS(B213&gt;60,"Older Adult(&gt;60)",B213&gt;35,"Middle-aged Adult(36-60)",B213&gt;18,"Young Adult(19-35)",B213&gt;12,"Adolescent(13-18)",B213&gt;0,"Child(&lt;13)")</f>
        <v>Young Adult(19-35)</v>
      </c>
    </row>
    <row r="214" spans="1:12">
      <c r="A214" t="s">
        <v>10</v>
      </c>
      <c r="B214">
        <v>18</v>
      </c>
      <c r="C214">
        <v>0</v>
      </c>
      <c r="D214">
        <v>1</v>
      </c>
      <c r="E214">
        <v>1</v>
      </c>
      <c r="F214" t="s">
        <v>50</v>
      </c>
      <c r="G214" t="s">
        <v>12</v>
      </c>
      <c r="H214" t="s">
        <v>24</v>
      </c>
      <c r="I214" t="s">
        <v>14</v>
      </c>
      <c r="J214">
        <v>1</v>
      </c>
      <c r="K214" t="str">
        <f t="shared" si="3"/>
        <v>Affected</v>
      </c>
      <c r="L214" t="str" cm="1">
        <f t="array" ref="L214">_xlfn.IFS(B214&gt;60,"Older Adult(&gt;60)",B214&gt;35,"Middle-aged Adult(36-60)",B214&gt;18,"Young Adult(19-35)",B214&gt;12,"Adolescent(13-18)",B214&gt;0,"Child(&lt;13)")</f>
        <v>Adolescent(13-18)</v>
      </c>
    </row>
    <row r="215" spans="1:12">
      <c r="A215" t="s">
        <v>10</v>
      </c>
      <c r="B215">
        <v>43</v>
      </c>
      <c r="C215">
        <v>1</v>
      </c>
      <c r="D215">
        <v>1</v>
      </c>
      <c r="E215">
        <v>1</v>
      </c>
      <c r="F215" t="s">
        <v>33</v>
      </c>
      <c r="G215" t="s">
        <v>17</v>
      </c>
      <c r="H215" t="s">
        <v>19</v>
      </c>
      <c r="I215" t="s">
        <v>14</v>
      </c>
      <c r="J215">
        <v>1</v>
      </c>
      <c r="K215" t="str">
        <f t="shared" si="3"/>
        <v>Affected</v>
      </c>
      <c r="L215" t="str" cm="1">
        <f t="array" ref="L215">_xlfn.IFS(B215&gt;60,"Older Adult(&gt;60)",B215&gt;35,"Middle-aged Adult(36-60)",B215&gt;18,"Young Adult(19-35)",B215&gt;12,"Adolescent(13-18)",B215&gt;0,"Child(&lt;13)")</f>
        <v>Middle-aged Adult(36-60)</v>
      </c>
    </row>
    <row r="216" spans="1:12">
      <c r="A216" t="s">
        <v>15</v>
      </c>
      <c r="B216">
        <v>61</v>
      </c>
      <c r="C216">
        <v>0</v>
      </c>
      <c r="D216">
        <v>0</v>
      </c>
      <c r="E216">
        <v>1</v>
      </c>
      <c r="F216" t="s">
        <v>26</v>
      </c>
      <c r="G216" t="s">
        <v>12</v>
      </c>
      <c r="H216" t="s">
        <v>13</v>
      </c>
      <c r="I216" t="s">
        <v>14</v>
      </c>
      <c r="J216">
        <v>0</v>
      </c>
      <c r="K216" t="str">
        <f t="shared" si="3"/>
        <v>Not Affected</v>
      </c>
      <c r="L216" t="str" cm="1">
        <f t="array" ref="L216">_xlfn.IFS(B216&gt;60,"Older Adult(&gt;60)",B216&gt;35,"Middle-aged Adult(36-60)",B216&gt;18,"Young Adult(19-35)",B216&gt;12,"Adolescent(13-18)",B216&gt;0,"Child(&lt;13)")</f>
        <v>Older Adult(&gt;60)</v>
      </c>
    </row>
    <row r="217" spans="1:12">
      <c r="A217" t="s">
        <v>10</v>
      </c>
      <c r="B217">
        <v>46</v>
      </c>
      <c r="C217">
        <v>0</v>
      </c>
      <c r="D217">
        <v>0</v>
      </c>
      <c r="E217">
        <v>0</v>
      </c>
      <c r="F217" t="s">
        <v>21</v>
      </c>
      <c r="G217" t="s">
        <v>17</v>
      </c>
      <c r="H217" t="s">
        <v>19</v>
      </c>
      <c r="I217" t="s">
        <v>14</v>
      </c>
      <c r="J217">
        <v>0</v>
      </c>
      <c r="K217" t="str">
        <f t="shared" si="3"/>
        <v>Not Affected</v>
      </c>
      <c r="L217" t="str" cm="1">
        <f t="array" ref="L217">_xlfn.IFS(B217&gt;60,"Older Adult(&gt;60)",B217&gt;35,"Middle-aged Adult(36-60)",B217&gt;18,"Young Adult(19-35)",B217&gt;12,"Adolescent(13-18)",B217&gt;0,"Child(&lt;13)")</f>
        <v>Middle-aged Adult(36-60)</v>
      </c>
    </row>
    <row r="218" spans="1:12">
      <c r="A218" t="s">
        <v>15</v>
      </c>
      <c r="B218">
        <v>59</v>
      </c>
      <c r="C218">
        <v>1</v>
      </c>
      <c r="D218">
        <v>1</v>
      </c>
      <c r="E218">
        <v>1</v>
      </c>
      <c r="F218" t="s">
        <v>30</v>
      </c>
      <c r="G218" t="s">
        <v>12</v>
      </c>
      <c r="H218" t="s">
        <v>19</v>
      </c>
      <c r="I218" t="s">
        <v>14</v>
      </c>
      <c r="J218">
        <v>1</v>
      </c>
      <c r="K218" t="str">
        <f t="shared" si="3"/>
        <v>Affected</v>
      </c>
      <c r="L218" t="str" cm="1">
        <f t="array" ref="L218">_xlfn.IFS(B218&gt;60,"Older Adult(&gt;60)",B218&gt;35,"Middle-aged Adult(36-60)",B218&gt;18,"Young Adult(19-35)",B218&gt;12,"Adolescent(13-18)",B218&gt;0,"Child(&lt;13)")</f>
        <v>Middle-aged Adult(36-60)</v>
      </c>
    </row>
    <row r="219" spans="1:12">
      <c r="A219" t="s">
        <v>10</v>
      </c>
      <c r="B219">
        <v>55</v>
      </c>
      <c r="C219">
        <v>1</v>
      </c>
      <c r="D219">
        <v>1</v>
      </c>
      <c r="E219">
        <v>1</v>
      </c>
      <c r="F219" t="s">
        <v>29</v>
      </c>
      <c r="G219" t="s">
        <v>17</v>
      </c>
      <c r="H219" t="s">
        <v>13</v>
      </c>
      <c r="I219" t="s">
        <v>14</v>
      </c>
      <c r="J219">
        <v>1</v>
      </c>
      <c r="K219" t="str">
        <f t="shared" si="3"/>
        <v>Affected</v>
      </c>
      <c r="L219" t="str" cm="1">
        <f t="array" ref="L219">_xlfn.IFS(B219&gt;60,"Older Adult(&gt;60)",B219&gt;35,"Middle-aged Adult(36-60)",B219&gt;18,"Young Adult(19-35)",B219&gt;12,"Adolescent(13-18)",B219&gt;0,"Child(&lt;13)")</f>
        <v>Middle-aged Adult(36-60)</v>
      </c>
    </row>
    <row r="220" spans="1:12">
      <c r="A220" t="s">
        <v>15</v>
      </c>
      <c r="B220">
        <v>25</v>
      </c>
      <c r="C220">
        <v>0</v>
      </c>
      <c r="D220">
        <v>0</v>
      </c>
      <c r="E220">
        <v>1</v>
      </c>
      <c r="F220" t="s">
        <v>11</v>
      </c>
      <c r="G220" t="s">
        <v>12</v>
      </c>
      <c r="H220" t="s">
        <v>24</v>
      </c>
      <c r="I220" t="s">
        <v>14</v>
      </c>
      <c r="J220">
        <v>0</v>
      </c>
      <c r="K220" t="str">
        <f t="shared" si="3"/>
        <v>Not Affected</v>
      </c>
      <c r="L220" t="str" cm="1">
        <f t="array" ref="L220">_xlfn.IFS(B220&gt;60,"Older Adult(&gt;60)",B220&gt;35,"Middle-aged Adult(36-60)",B220&gt;18,"Young Adult(19-35)",B220&gt;12,"Adolescent(13-18)",B220&gt;0,"Child(&lt;13)")</f>
        <v>Young Adult(19-35)</v>
      </c>
    </row>
    <row r="221" spans="1:12">
      <c r="A221" t="s">
        <v>10</v>
      </c>
      <c r="B221">
        <v>53</v>
      </c>
      <c r="C221">
        <v>0</v>
      </c>
      <c r="D221">
        <v>0</v>
      </c>
      <c r="E221">
        <v>1</v>
      </c>
      <c r="F221" t="s">
        <v>33</v>
      </c>
      <c r="G221" t="s">
        <v>17</v>
      </c>
      <c r="H221" t="s">
        <v>24</v>
      </c>
      <c r="I221" t="s">
        <v>14</v>
      </c>
      <c r="J221">
        <v>0</v>
      </c>
      <c r="K221" t="str">
        <f t="shared" si="3"/>
        <v>Not Affected</v>
      </c>
      <c r="L221" t="str" cm="1">
        <f t="array" ref="L221">_xlfn.IFS(B221&gt;60,"Older Adult(&gt;60)",B221&gt;35,"Middle-aged Adult(36-60)",B221&gt;18,"Young Adult(19-35)",B221&gt;12,"Adolescent(13-18)",B221&gt;0,"Child(&lt;13)")</f>
        <v>Middle-aged Adult(36-60)</v>
      </c>
    </row>
    <row r="222" spans="1:12">
      <c r="A222" t="s">
        <v>10</v>
      </c>
      <c r="B222">
        <v>32</v>
      </c>
      <c r="C222">
        <v>1</v>
      </c>
      <c r="D222">
        <v>1</v>
      </c>
      <c r="E222">
        <v>0</v>
      </c>
      <c r="F222" t="s">
        <v>51</v>
      </c>
      <c r="G222" t="s">
        <v>12</v>
      </c>
      <c r="H222" t="s">
        <v>13</v>
      </c>
      <c r="I222" t="s">
        <v>14</v>
      </c>
      <c r="J222">
        <v>1</v>
      </c>
      <c r="K222" t="str">
        <f t="shared" si="3"/>
        <v>Affected</v>
      </c>
      <c r="L222" t="str" cm="1">
        <f t="array" ref="L222">_xlfn.IFS(B222&gt;60,"Older Adult(&gt;60)",B222&gt;35,"Middle-aged Adult(36-60)",B222&gt;18,"Young Adult(19-35)",B222&gt;12,"Adolescent(13-18)",B222&gt;0,"Child(&lt;13)")</f>
        <v>Young Adult(19-35)</v>
      </c>
    </row>
    <row r="223" spans="1:12">
      <c r="A223" t="s">
        <v>15</v>
      </c>
      <c r="B223">
        <v>40</v>
      </c>
      <c r="C223">
        <v>1</v>
      </c>
      <c r="D223">
        <v>1</v>
      </c>
      <c r="E223">
        <v>1</v>
      </c>
      <c r="F223" t="s">
        <v>44</v>
      </c>
      <c r="G223" t="s">
        <v>17</v>
      </c>
      <c r="H223" t="s">
        <v>19</v>
      </c>
      <c r="I223" t="s">
        <v>14</v>
      </c>
      <c r="J223">
        <v>1</v>
      </c>
      <c r="K223" t="str">
        <f t="shared" si="3"/>
        <v>Affected</v>
      </c>
      <c r="L223" t="str" cm="1">
        <f t="array" ref="L223">_xlfn.IFS(B223&gt;60,"Older Adult(&gt;60)",B223&gt;35,"Middle-aged Adult(36-60)",B223&gt;18,"Young Adult(19-35)",B223&gt;12,"Adolescent(13-18)",B223&gt;0,"Child(&lt;13)")</f>
        <v>Middle-aged Adult(36-60)</v>
      </c>
    </row>
    <row r="224" spans="1:12">
      <c r="A224" t="s">
        <v>15</v>
      </c>
      <c r="B224">
        <v>57</v>
      </c>
      <c r="C224">
        <v>1</v>
      </c>
      <c r="D224">
        <v>1</v>
      </c>
      <c r="E224">
        <v>1</v>
      </c>
      <c r="F224" t="s">
        <v>36</v>
      </c>
      <c r="G224" t="s">
        <v>12</v>
      </c>
      <c r="H224" t="s">
        <v>13</v>
      </c>
      <c r="I224" t="s">
        <v>14</v>
      </c>
      <c r="J224">
        <v>1</v>
      </c>
      <c r="K224" t="str">
        <f t="shared" si="3"/>
        <v>Affected</v>
      </c>
      <c r="L224" t="str" cm="1">
        <f t="array" ref="L224">_xlfn.IFS(B224&gt;60,"Older Adult(&gt;60)",B224&gt;35,"Middle-aged Adult(36-60)",B224&gt;18,"Young Adult(19-35)",B224&gt;12,"Adolescent(13-18)",B224&gt;0,"Child(&lt;13)")</f>
        <v>Middle-aged Adult(36-60)</v>
      </c>
    </row>
    <row r="225" spans="1:12">
      <c r="A225" t="s">
        <v>15</v>
      </c>
      <c r="B225">
        <v>43</v>
      </c>
      <c r="C225">
        <v>0</v>
      </c>
      <c r="D225">
        <v>0</v>
      </c>
      <c r="E225">
        <v>1</v>
      </c>
      <c r="F225" t="s">
        <v>30</v>
      </c>
      <c r="G225" t="s">
        <v>17</v>
      </c>
      <c r="H225" t="s">
        <v>19</v>
      </c>
      <c r="I225" t="s">
        <v>14</v>
      </c>
      <c r="J225">
        <v>0</v>
      </c>
      <c r="K225" t="str">
        <f t="shared" si="3"/>
        <v>Not Affected</v>
      </c>
      <c r="L225" t="str" cm="1">
        <f t="array" ref="L225">_xlfn.IFS(B225&gt;60,"Older Adult(&gt;60)",B225&gt;35,"Middle-aged Adult(36-60)",B225&gt;18,"Young Adult(19-35)",B225&gt;12,"Adolescent(13-18)",B225&gt;0,"Child(&lt;13)")</f>
        <v>Middle-aged Adult(36-60)</v>
      </c>
    </row>
    <row r="226" spans="1:12">
      <c r="A226" t="s">
        <v>15</v>
      </c>
      <c r="B226">
        <v>43</v>
      </c>
      <c r="C226">
        <v>0</v>
      </c>
      <c r="D226">
        <v>0</v>
      </c>
      <c r="E226">
        <v>1</v>
      </c>
      <c r="F226" t="s">
        <v>41</v>
      </c>
      <c r="G226" t="s">
        <v>12</v>
      </c>
      <c r="H226" t="s">
        <v>13</v>
      </c>
      <c r="I226" t="s">
        <v>14</v>
      </c>
      <c r="J226">
        <v>0</v>
      </c>
      <c r="K226" t="str">
        <f t="shared" si="3"/>
        <v>Not Affected</v>
      </c>
      <c r="L226" t="str" cm="1">
        <f t="array" ref="L226">_xlfn.IFS(B226&gt;60,"Older Adult(&gt;60)",B226&gt;35,"Middle-aged Adult(36-60)",B226&gt;18,"Young Adult(19-35)",B226&gt;12,"Adolescent(13-18)",B226&gt;0,"Child(&lt;13)")</f>
        <v>Middle-aged Adult(36-60)</v>
      </c>
    </row>
    <row r="227" spans="1:12">
      <c r="A227" t="s">
        <v>15</v>
      </c>
      <c r="B227">
        <v>57</v>
      </c>
      <c r="C227">
        <v>0</v>
      </c>
      <c r="D227">
        <v>0</v>
      </c>
      <c r="E227">
        <v>0</v>
      </c>
      <c r="F227" t="s">
        <v>45</v>
      </c>
      <c r="G227" t="s">
        <v>17</v>
      </c>
      <c r="H227" t="s">
        <v>13</v>
      </c>
      <c r="I227" t="s">
        <v>14</v>
      </c>
      <c r="J227">
        <v>0</v>
      </c>
      <c r="K227" t="str">
        <f t="shared" si="3"/>
        <v>Not Affected</v>
      </c>
      <c r="L227" t="str" cm="1">
        <f t="array" ref="L227">_xlfn.IFS(B227&gt;60,"Older Adult(&gt;60)",B227&gt;35,"Middle-aged Adult(36-60)",B227&gt;18,"Young Adult(19-35)",B227&gt;12,"Adolescent(13-18)",B227&gt;0,"Child(&lt;13)")</f>
        <v>Middle-aged Adult(36-60)</v>
      </c>
    </row>
    <row r="228" spans="1:12">
      <c r="A228" t="s">
        <v>10</v>
      </c>
      <c r="B228">
        <v>55</v>
      </c>
      <c r="C228">
        <v>1</v>
      </c>
      <c r="D228">
        <v>1</v>
      </c>
      <c r="E228">
        <v>1</v>
      </c>
      <c r="F228" t="s">
        <v>16</v>
      </c>
      <c r="G228" t="s">
        <v>12</v>
      </c>
      <c r="H228" t="s">
        <v>19</v>
      </c>
      <c r="I228" t="s">
        <v>14</v>
      </c>
      <c r="J228">
        <v>1</v>
      </c>
      <c r="K228" t="str">
        <f t="shared" si="3"/>
        <v>Affected</v>
      </c>
      <c r="L228" t="str" cm="1">
        <f t="array" ref="L228">_xlfn.IFS(B228&gt;60,"Older Adult(&gt;60)",B228&gt;35,"Middle-aged Adult(36-60)",B228&gt;18,"Young Adult(19-35)",B228&gt;12,"Adolescent(13-18)",B228&gt;0,"Child(&lt;13)")</f>
        <v>Middle-aged Adult(36-60)</v>
      </c>
    </row>
    <row r="229" spans="1:12">
      <c r="A229" t="s">
        <v>10</v>
      </c>
      <c r="B229">
        <v>16</v>
      </c>
      <c r="C229">
        <v>1</v>
      </c>
      <c r="D229">
        <v>1</v>
      </c>
      <c r="E229">
        <v>0</v>
      </c>
      <c r="F229" t="s">
        <v>53</v>
      </c>
      <c r="G229" t="s">
        <v>17</v>
      </c>
      <c r="H229" t="s">
        <v>13</v>
      </c>
      <c r="I229" t="s">
        <v>14</v>
      </c>
      <c r="J229">
        <v>1</v>
      </c>
      <c r="K229" t="str">
        <f t="shared" si="3"/>
        <v>Affected</v>
      </c>
      <c r="L229" t="str" cm="1">
        <f t="array" ref="L229">_xlfn.IFS(B229&gt;60,"Older Adult(&gt;60)",B229&gt;35,"Middle-aged Adult(36-60)",B229&gt;18,"Young Adult(19-35)",B229&gt;12,"Adolescent(13-18)",B229&gt;0,"Child(&lt;13)")</f>
        <v>Adolescent(13-18)</v>
      </c>
    </row>
    <row r="230" spans="1:12">
      <c r="A230" t="s">
        <v>15</v>
      </c>
      <c r="B230">
        <v>25</v>
      </c>
      <c r="C230">
        <v>0</v>
      </c>
      <c r="D230">
        <v>0</v>
      </c>
      <c r="E230">
        <v>1</v>
      </c>
      <c r="F230" t="s">
        <v>32</v>
      </c>
      <c r="G230" t="s">
        <v>12</v>
      </c>
      <c r="H230" t="s">
        <v>19</v>
      </c>
      <c r="I230" t="s">
        <v>14</v>
      </c>
      <c r="J230">
        <v>0</v>
      </c>
      <c r="K230" t="str">
        <f t="shared" si="3"/>
        <v>Not Affected</v>
      </c>
      <c r="L230" t="str" cm="1">
        <f t="array" ref="L230">_xlfn.IFS(B230&gt;60,"Older Adult(&gt;60)",B230&gt;35,"Middle-aged Adult(36-60)",B230&gt;18,"Young Adult(19-35)",B230&gt;12,"Adolescent(13-18)",B230&gt;0,"Child(&lt;13)")</f>
        <v>Young Adult(19-35)</v>
      </c>
    </row>
    <row r="231" spans="1:12">
      <c r="A231" t="s">
        <v>10</v>
      </c>
      <c r="B231">
        <v>28</v>
      </c>
      <c r="C231">
        <v>1</v>
      </c>
      <c r="D231">
        <v>1</v>
      </c>
      <c r="E231">
        <v>0</v>
      </c>
      <c r="F231" t="s">
        <v>53</v>
      </c>
      <c r="G231" t="s">
        <v>17</v>
      </c>
      <c r="H231" t="s">
        <v>19</v>
      </c>
      <c r="I231" t="s">
        <v>14</v>
      </c>
      <c r="J231">
        <v>1</v>
      </c>
      <c r="K231" t="str">
        <f t="shared" si="3"/>
        <v>Affected</v>
      </c>
      <c r="L231" t="str" cm="1">
        <f t="array" ref="L231">_xlfn.IFS(B231&gt;60,"Older Adult(&gt;60)",B231&gt;35,"Middle-aged Adult(36-60)",B231&gt;18,"Young Adult(19-35)",B231&gt;12,"Adolescent(13-18)",B231&gt;0,"Child(&lt;13)")</f>
        <v>Young Adult(19-35)</v>
      </c>
    </row>
    <row r="232" spans="1:12">
      <c r="A232" t="s">
        <v>10</v>
      </c>
      <c r="B232">
        <v>41</v>
      </c>
      <c r="C232">
        <v>0</v>
      </c>
      <c r="D232">
        <v>0</v>
      </c>
      <c r="E232">
        <v>0</v>
      </c>
      <c r="F232" t="s">
        <v>52</v>
      </c>
      <c r="G232" t="s">
        <v>12</v>
      </c>
      <c r="H232" t="s">
        <v>19</v>
      </c>
      <c r="I232" t="s">
        <v>14</v>
      </c>
      <c r="J232">
        <v>0</v>
      </c>
      <c r="K232" t="str">
        <f t="shared" si="3"/>
        <v>Not Affected</v>
      </c>
      <c r="L232" t="str" cm="1">
        <f t="array" ref="L232">_xlfn.IFS(B232&gt;60,"Older Adult(&gt;60)",B232&gt;35,"Middle-aged Adult(36-60)",B232&gt;18,"Young Adult(19-35)",B232&gt;12,"Adolescent(13-18)",B232&gt;0,"Child(&lt;13)")</f>
        <v>Middle-aged Adult(36-60)</v>
      </c>
    </row>
    <row r="233" spans="1:12">
      <c r="A233" t="s">
        <v>15</v>
      </c>
      <c r="B233">
        <v>52</v>
      </c>
      <c r="C233">
        <v>1</v>
      </c>
      <c r="D233">
        <v>1</v>
      </c>
      <c r="E233">
        <v>1</v>
      </c>
      <c r="F233" t="s">
        <v>39</v>
      </c>
      <c r="G233" t="s">
        <v>17</v>
      </c>
      <c r="H233" t="s">
        <v>19</v>
      </c>
      <c r="I233" t="s">
        <v>14</v>
      </c>
      <c r="J233">
        <v>1</v>
      </c>
      <c r="K233" t="str">
        <f t="shared" si="3"/>
        <v>Affected</v>
      </c>
      <c r="L233" t="str" cm="1">
        <f t="array" ref="L233">_xlfn.IFS(B233&gt;60,"Older Adult(&gt;60)",B233&gt;35,"Middle-aged Adult(36-60)",B233&gt;18,"Young Adult(19-35)",B233&gt;12,"Adolescent(13-18)",B233&gt;0,"Child(&lt;13)")</f>
        <v>Middle-aged Adult(36-60)</v>
      </c>
    </row>
    <row r="234" spans="1:12">
      <c r="A234" t="s">
        <v>15</v>
      </c>
      <c r="B234">
        <v>46</v>
      </c>
      <c r="C234">
        <v>1</v>
      </c>
      <c r="D234">
        <v>1</v>
      </c>
      <c r="E234">
        <v>0</v>
      </c>
      <c r="F234" t="s">
        <v>34</v>
      </c>
      <c r="G234" t="s">
        <v>12</v>
      </c>
      <c r="H234" t="s">
        <v>24</v>
      </c>
      <c r="I234" t="s">
        <v>14</v>
      </c>
      <c r="J234">
        <v>1</v>
      </c>
      <c r="K234" t="str">
        <f t="shared" si="3"/>
        <v>Affected</v>
      </c>
      <c r="L234" t="str" cm="1">
        <f t="array" ref="L234">_xlfn.IFS(B234&gt;60,"Older Adult(&gt;60)",B234&gt;35,"Middle-aged Adult(36-60)",B234&gt;18,"Young Adult(19-35)",B234&gt;12,"Adolescent(13-18)",B234&gt;0,"Child(&lt;13)")</f>
        <v>Middle-aged Adult(36-60)</v>
      </c>
    </row>
    <row r="235" spans="1:12">
      <c r="A235" t="s">
        <v>10</v>
      </c>
      <c r="B235">
        <v>55</v>
      </c>
      <c r="C235">
        <v>0</v>
      </c>
      <c r="D235">
        <v>0</v>
      </c>
      <c r="E235">
        <v>1</v>
      </c>
      <c r="F235" t="s">
        <v>37</v>
      </c>
      <c r="G235" t="s">
        <v>17</v>
      </c>
      <c r="H235" t="s">
        <v>13</v>
      </c>
      <c r="I235" t="s">
        <v>14</v>
      </c>
      <c r="J235">
        <v>0</v>
      </c>
      <c r="K235" t="str">
        <f t="shared" si="3"/>
        <v>Not Affected</v>
      </c>
      <c r="L235" t="str" cm="1">
        <f t="array" ref="L235">_xlfn.IFS(B235&gt;60,"Older Adult(&gt;60)",B235&gt;35,"Middle-aged Adult(36-60)",B235&gt;18,"Young Adult(19-35)",B235&gt;12,"Adolescent(13-18)",B235&gt;0,"Child(&lt;13)")</f>
        <v>Middle-aged Adult(36-60)</v>
      </c>
    </row>
    <row r="236" spans="1:12">
      <c r="A236" t="s">
        <v>10</v>
      </c>
      <c r="B236">
        <v>53</v>
      </c>
      <c r="C236">
        <v>1</v>
      </c>
      <c r="D236">
        <v>1</v>
      </c>
      <c r="E236">
        <v>1</v>
      </c>
      <c r="F236" t="s">
        <v>25</v>
      </c>
      <c r="G236" t="s">
        <v>12</v>
      </c>
      <c r="H236" t="s">
        <v>24</v>
      </c>
      <c r="I236" t="s">
        <v>14</v>
      </c>
      <c r="J236">
        <v>1</v>
      </c>
      <c r="K236" t="str">
        <f t="shared" si="3"/>
        <v>Affected</v>
      </c>
      <c r="L236" t="str" cm="1">
        <f t="array" ref="L236">_xlfn.IFS(B236&gt;60,"Older Adult(&gt;60)",B236&gt;35,"Middle-aged Adult(36-60)",B236&gt;18,"Young Adult(19-35)",B236&gt;12,"Adolescent(13-18)",B236&gt;0,"Child(&lt;13)")</f>
        <v>Middle-aged Adult(36-60)</v>
      </c>
    </row>
    <row r="237" spans="1:12">
      <c r="A237" t="s">
        <v>10</v>
      </c>
      <c r="B237">
        <v>42</v>
      </c>
      <c r="C237">
        <v>1</v>
      </c>
      <c r="D237">
        <v>1</v>
      </c>
      <c r="E237">
        <v>0</v>
      </c>
      <c r="F237" t="s">
        <v>49</v>
      </c>
      <c r="G237" t="s">
        <v>17</v>
      </c>
      <c r="H237" t="s">
        <v>19</v>
      </c>
      <c r="I237" t="s">
        <v>14</v>
      </c>
      <c r="J237">
        <v>1</v>
      </c>
      <c r="K237" t="str">
        <f t="shared" si="3"/>
        <v>Affected</v>
      </c>
      <c r="L237" t="str" cm="1">
        <f t="array" ref="L237">_xlfn.IFS(B237&gt;60,"Older Adult(&gt;60)",B237&gt;35,"Middle-aged Adult(36-60)",B237&gt;18,"Young Adult(19-35)",B237&gt;12,"Adolescent(13-18)",B237&gt;0,"Child(&lt;13)")</f>
        <v>Middle-aged Adult(36-60)</v>
      </c>
    </row>
    <row r="238" spans="1:12">
      <c r="A238" t="s">
        <v>10</v>
      </c>
      <c r="B238">
        <v>30</v>
      </c>
      <c r="C238">
        <v>0</v>
      </c>
      <c r="D238">
        <v>0</v>
      </c>
      <c r="E238">
        <v>0</v>
      </c>
      <c r="F238" t="s">
        <v>50</v>
      </c>
      <c r="G238" t="s">
        <v>12</v>
      </c>
      <c r="H238" t="s">
        <v>13</v>
      </c>
      <c r="I238" t="s">
        <v>14</v>
      </c>
      <c r="J238">
        <v>0</v>
      </c>
      <c r="K238" t="str">
        <f t="shared" si="3"/>
        <v>Not Affected</v>
      </c>
      <c r="L238" t="str" cm="1">
        <f t="array" ref="L238">_xlfn.IFS(B238&gt;60,"Older Adult(&gt;60)",B238&gt;35,"Middle-aged Adult(36-60)",B238&gt;18,"Young Adult(19-35)",B238&gt;12,"Adolescent(13-18)",B238&gt;0,"Child(&lt;13)")</f>
        <v>Young Adult(19-35)</v>
      </c>
    </row>
    <row r="239" spans="1:12">
      <c r="A239" t="s">
        <v>10</v>
      </c>
      <c r="B239">
        <v>18</v>
      </c>
      <c r="C239">
        <v>1</v>
      </c>
      <c r="D239">
        <v>1</v>
      </c>
      <c r="E239">
        <v>0</v>
      </c>
      <c r="F239" t="s">
        <v>50</v>
      </c>
      <c r="G239" t="s">
        <v>17</v>
      </c>
      <c r="H239" t="s">
        <v>24</v>
      </c>
      <c r="I239" t="s">
        <v>14</v>
      </c>
      <c r="J239">
        <v>1</v>
      </c>
      <c r="K239" t="str">
        <f t="shared" si="3"/>
        <v>Affected</v>
      </c>
      <c r="L239" t="str" cm="1">
        <f t="array" ref="L239">_xlfn.IFS(B239&gt;60,"Older Adult(&gt;60)",B239&gt;35,"Middle-aged Adult(36-60)",B239&gt;18,"Young Adult(19-35)",B239&gt;12,"Adolescent(13-18)",B239&gt;0,"Child(&lt;13)")</f>
        <v>Adolescent(13-18)</v>
      </c>
    </row>
    <row r="240" spans="1:12">
      <c r="A240" t="s">
        <v>10</v>
      </c>
      <c r="B240">
        <v>44</v>
      </c>
      <c r="C240">
        <v>0</v>
      </c>
      <c r="D240">
        <v>0</v>
      </c>
      <c r="E240">
        <v>1</v>
      </c>
      <c r="F240" t="s">
        <v>47</v>
      </c>
      <c r="G240" t="s">
        <v>12</v>
      </c>
      <c r="H240" t="s">
        <v>13</v>
      </c>
      <c r="I240" t="s">
        <v>14</v>
      </c>
      <c r="J240">
        <v>0</v>
      </c>
      <c r="K240" t="str">
        <f t="shared" si="3"/>
        <v>Not Affected</v>
      </c>
      <c r="L240" t="str" cm="1">
        <f t="array" ref="L240">_xlfn.IFS(B240&gt;60,"Older Adult(&gt;60)",B240&gt;35,"Middle-aged Adult(36-60)",B240&gt;18,"Young Adult(19-35)",B240&gt;12,"Adolescent(13-18)",B240&gt;0,"Child(&lt;13)")</f>
        <v>Middle-aged Adult(36-60)</v>
      </c>
    </row>
    <row r="241" spans="1:12">
      <c r="A241" t="s">
        <v>10</v>
      </c>
      <c r="B241">
        <v>21</v>
      </c>
      <c r="C241">
        <v>1</v>
      </c>
      <c r="D241">
        <v>1</v>
      </c>
      <c r="E241">
        <v>1</v>
      </c>
      <c r="F241" t="s">
        <v>51</v>
      </c>
      <c r="G241" t="s">
        <v>17</v>
      </c>
      <c r="H241" t="s">
        <v>24</v>
      </c>
      <c r="I241" t="s">
        <v>14</v>
      </c>
      <c r="J241">
        <v>1</v>
      </c>
      <c r="K241" t="str">
        <f t="shared" si="3"/>
        <v>Affected</v>
      </c>
      <c r="L241" t="str" cm="1">
        <f t="array" ref="L241">_xlfn.IFS(B241&gt;60,"Older Adult(&gt;60)",B241&gt;35,"Middle-aged Adult(36-60)",B241&gt;18,"Young Adult(19-35)",B241&gt;12,"Adolescent(13-18)",B241&gt;0,"Child(&lt;13)")</f>
        <v>Young Adult(19-35)</v>
      </c>
    </row>
    <row r="242" spans="1:12">
      <c r="A242" t="s">
        <v>15</v>
      </c>
      <c r="B242">
        <v>56</v>
      </c>
      <c r="C242">
        <v>0</v>
      </c>
      <c r="D242">
        <v>0</v>
      </c>
      <c r="E242">
        <v>0</v>
      </c>
      <c r="F242" t="s">
        <v>28</v>
      </c>
      <c r="G242" t="s">
        <v>12</v>
      </c>
      <c r="H242" t="s">
        <v>13</v>
      </c>
      <c r="I242" t="s">
        <v>14</v>
      </c>
      <c r="J242">
        <v>0</v>
      </c>
      <c r="K242" t="str">
        <f t="shared" si="3"/>
        <v>Not Affected</v>
      </c>
      <c r="L242" t="str" cm="1">
        <f t="array" ref="L242">_xlfn.IFS(B242&gt;60,"Older Adult(&gt;60)",B242&gt;35,"Middle-aged Adult(36-60)",B242&gt;18,"Young Adult(19-35)",B242&gt;12,"Adolescent(13-18)",B242&gt;0,"Child(&lt;13)")</f>
        <v>Middle-aged Adult(36-60)</v>
      </c>
    </row>
    <row r="243" spans="1:12">
      <c r="A243" t="s">
        <v>15</v>
      </c>
      <c r="B243">
        <v>50</v>
      </c>
      <c r="C243">
        <v>1</v>
      </c>
      <c r="D243">
        <v>1</v>
      </c>
      <c r="E243">
        <v>0</v>
      </c>
      <c r="F243" t="s">
        <v>48</v>
      </c>
      <c r="G243" t="s">
        <v>17</v>
      </c>
      <c r="H243" t="s">
        <v>13</v>
      </c>
      <c r="I243" t="s">
        <v>14</v>
      </c>
      <c r="J243">
        <v>1</v>
      </c>
      <c r="K243" t="str">
        <f t="shared" si="3"/>
        <v>Affected</v>
      </c>
      <c r="L243" t="str" cm="1">
        <f t="array" ref="L243">_xlfn.IFS(B243&gt;60,"Older Adult(&gt;60)",B243&gt;35,"Middle-aged Adult(36-60)",B243&gt;18,"Young Adult(19-35)",B243&gt;12,"Adolescent(13-18)",B243&gt;0,"Child(&lt;13)")</f>
        <v>Middle-aged Adult(36-60)</v>
      </c>
    </row>
    <row r="244" spans="1:12">
      <c r="A244" t="s">
        <v>10</v>
      </c>
      <c r="B244">
        <v>12</v>
      </c>
      <c r="C244">
        <v>1</v>
      </c>
      <c r="D244">
        <v>1</v>
      </c>
      <c r="E244">
        <v>0</v>
      </c>
      <c r="F244" t="s">
        <v>38</v>
      </c>
      <c r="G244" t="s">
        <v>12</v>
      </c>
      <c r="H244" t="s">
        <v>24</v>
      </c>
      <c r="I244" t="s">
        <v>14</v>
      </c>
      <c r="J244">
        <v>1</v>
      </c>
      <c r="K244" t="str">
        <f t="shared" si="3"/>
        <v>Affected</v>
      </c>
      <c r="L244" t="str" cm="1">
        <f t="array" ref="L244">_xlfn.IFS(B244&gt;60,"Older Adult(&gt;60)",B244&gt;35,"Middle-aged Adult(36-60)",B244&gt;18,"Young Adult(19-35)",B244&gt;12,"Adolescent(13-18)",B244&gt;0,"Child(&lt;13)")</f>
        <v>Child(&lt;13)</v>
      </c>
    </row>
    <row r="245" spans="1:12">
      <c r="A245" t="s">
        <v>15</v>
      </c>
      <c r="B245">
        <v>43</v>
      </c>
      <c r="C245">
        <v>0</v>
      </c>
      <c r="D245">
        <v>0</v>
      </c>
      <c r="E245">
        <v>0</v>
      </c>
      <c r="F245" t="s">
        <v>22</v>
      </c>
      <c r="G245" t="s">
        <v>17</v>
      </c>
      <c r="H245" t="s">
        <v>19</v>
      </c>
      <c r="I245" t="s">
        <v>14</v>
      </c>
      <c r="J245">
        <v>0</v>
      </c>
      <c r="K245" t="str">
        <f t="shared" si="3"/>
        <v>Not Affected</v>
      </c>
      <c r="L245" t="str" cm="1">
        <f t="array" ref="L245">_xlfn.IFS(B245&gt;60,"Older Adult(&gt;60)",B245&gt;35,"Middle-aged Adult(36-60)",B245&gt;18,"Young Adult(19-35)",B245&gt;12,"Adolescent(13-18)",B245&gt;0,"Child(&lt;13)")</f>
        <v>Middle-aged Adult(36-60)</v>
      </c>
    </row>
    <row r="246" spans="1:12">
      <c r="A246" t="s">
        <v>10</v>
      </c>
      <c r="B246">
        <v>42</v>
      </c>
      <c r="C246">
        <v>1</v>
      </c>
      <c r="D246">
        <v>1</v>
      </c>
      <c r="E246">
        <v>0</v>
      </c>
      <c r="F246" t="s">
        <v>28</v>
      </c>
      <c r="G246" t="s">
        <v>12</v>
      </c>
      <c r="H246" t="s">
        <v>13</v>
      </c>
      <c r="I246" t="s">
        <v>14</v>
      </c>
      <c r="J246">
        <v>1</v>
      </c>
      <c r="K246" t="str">
        <f t="shared" si="3"/>
        <v>Affected</v>
      </c>
      <c r="L246" t="str" cm="1">
        <f t="array" ref="L246">_xlfn.IFS(B246&gt;60,"Older Adult(&gt;60)",B246&gt;35,"Middle-aged Adult(36-60)",B246&gt;18,"Young Adult(19-35)",B246&gt;12,"Adolescent(13-18)",B246&gt;0,"Child(&lt;13)")</f>
        <v>Middle-aged Adult(36-60)</v>
      </c>
    </row>
    <row r="247" spans="1:12">
      <c r="A247" t="s">
        <v>10</v>
      </c>
      <c r="B247">
        <v>38</v>
      </c>
      <c r="C247">
        <v>0</v>
      </c>
      <c r="D247">
        <v>1</v>
      </c>
      <c r="E247">
        <v>0</v>
      </c>
      <c r="F247" t="s">
        <v>33</v>
      </c>
      <c r="G247" t="s">
        <v>17</v>
      </c>
      <c r="H247" t="s">
        <v>19</v>
      </c>
      <c r="I247" t="s">
        <v>14</v>
      </c>
      <c r="J247">
        <v>1</v>
      </c>
      <c r="K247" t="str">
        <f t="shared" si="3"/>
        <v>Affected</v>
      </c>
      <c r="L247" t="str" cm="1">
        <f t="array" ref="L247">_xlfn.IFS(B247&gt;60,"Older Adult(&gt;60)",B247&gt;35,"Middle-aged Adult(36-60)",B247&gt;18,"Young Adult(19-35)",B247&gt;12,"Adolescent(13-18)",B247&gt;0,"Child(&lt;13)")</f>
        <v>Middle-aged Adult(36-60)</v>
      </c>
    </row>
    <row r="248" spans="1:12">
      <c r="A248" t="s">
        <v>15</v>
      </c>
      <c r="B248">
        <v>62</v>
      </c>
      <c r="C248">
        <v>1</v>
      </c>
      <c r="D248">
        <v>1</v>
      </c>
      <c r="E248">
        <v>0</v>
      </c>
      <c r="F248" t="s">
        <v>44</v>
      </c>
      <c r="G248" t="s">
        <v>12</v>
      </c>
      <c r="H248" t="s">
        <v>24</v>
      </c>
      <c r="I248" t="s">
        <v>14</v>
      </c>
      <c r="J248">
        <v>1</v>
      </c>
      <c r="K248" t="str">
        <f t="shared" si="3"/>
        <v>Affected</v>
      </c>
      <c r="L248" t="str" cm="1">
        <f t="array" ref="L248">_xlfn.IFS(B248&gt;60,"Older Adult(&gt;60)",B248&gt;35,"Middle-aged Adult(36-60)",B248&gt;18,"Young Adult(19-35)",B248&gt;12,"Adolescent(13-18)",B248&gt;0,"Child(&lt;13)")</f>
        <v>Older Adult(&gt;60)</v>
      </c>
    </row>
    <row r="249" spans="1:12">
      <c r="A249" t="s">
        <v>10</v>
      </c>
      <c r="B249">
        <v>32</v>
      </c>
      <c r="C249">
        <v>0</v>
      </c>
      <c r="D249">
        <v>0</v>
      </c>
      <c r="E249">
        <v>0</v>
      </c>
      <c r="F249" t="s">
        <v>49</v>
      </c>
      <c r="G249" t="s">
        <v>17</v>
      </c>
      <c r="H249" t="s">
        <v>24</v>
      </c>
      <c r="I249" t="s">
        <v>14</v>
      </c>
      <c r="J249">
        <v>0</v>
      </c>
      <c r="K249" t="str">
        <f t="shared" si="3"/>
        <v>Not Affected</v>
      </c>
      <c r="L249" t="str" cm="1">
        <f t="array" ref="L249">_xlfn.IFS(B249&gt;60,"Older Adult(&gt;60)",B249&gt;35,"Middle-aged Adult(36-60)",B249&gt;18,"Young Adult(19-35)",B249&gt;12,"Adolescent(13-18)",B249&gt;0,"Child(&lt;13)")</f>
        <v>Young Adult(19-35)</v>
      </c>
    </row>
    <row r="250" spans="1:12">
      <c r="A250" t="s">
        <v>15</v>
      </c>
      <c r="B250">
        <v>19</v>
      </c>
      <c r="C250">
        <v>1</v>
      </c>
      <c r="D250">
        <v>1</v>
      </c>
      <c r="E250">
        <v>0</v>
      </c>
      <c r="F250" t="s">
        <v>50</v>
      </c>
      <c r="G250" t="s">
        <v>12</v>
      </c>
      <c r="H250" t="s">
        <v>13</v>
      </c>
      <c r="I250" t="s">
        <v>14</v>
      </c>
      <c r="J250">
        <v>1</v>
      </c>
      <c r="K250" t="str">
        <f t="shared" si="3"/>
        <v>Affected</v>
      </c>
      <c r="L250" t="str" cm="1">
        <f t="array" ref="L250">_xlfn.IFS(B250&gt;60,"Older Adult(&gt;60)",B250&gt;35,"Middle-aged Adult(36-60)",B250&gt;18,"Young Adult(19-35)",B250&gt;12,"Adolescent(13-18)",B250&gt;0,"Child(&lt;13)")</f>
        <v>Young Adult(19-35)</v>
      </c>
    </row>
    <row r="251" spans="1:12">
      <c r="A251" t="s">
        <v>10</v>
      </c>
      <c r="B251">
        <v>19</v>
      </c>
      <c r="C251">
        <v>1</v>
      </c>
      <c r="D251">
        <v>1</v>
      </c>
      <c r="E251">
        <v>1</v>
      </c>
      <c r="F251" t="s">
        <v>26</v>
      </c>
      <c r="G251" t="s">
        <v>17</v>
      </c>
      <c r="H251" t="s">
        <v>19</v>
      </c>
      <c r="I251" t="s">
        <v>14</v>
      </c>
      <c r="J251">
        <v>1</v>
      </c>
      <c r="K251" t="str">
        <f t="shared" si="3"/>
        <v>Affected</v>
      </c>
      <c r="L251" t="str" cm="1">
        <f t="array" ref="L251">_xlfn.IFS(B251&gt;60,"Older Adult(&gt;60)",B251&gt;35,"Middle-aged Adult(36-60)",B251&gt;18,"Young Adult(19-35)",B251&gt;12,"Adolescent(13-18)",B251&gt;0,"Child(&lt;13)")</f>
        <v>Young Adult(19-35)</v>
      </c>
    </row>
    <row r="252" spans="1:12">
      <c r="A252" t="s">
        <v>15</v>
      </c>
      <c r="B252">
        <v>40</v>
      </c>
      <c r="C252">
        <v>1</v>
      </c>
      <c r="D252">
        <v>1</v>
      </c>
      <c r="E252">
        <v>1</v>
      </c>
      <c r="F252" t="s">
        <v>40</v>
      </c>
      <c r="G252" t="s">
        <v>12</v>
      </c>
      <c r="H252" t="s">
        <v>19</v>
      </c>
      <c r="I252" t="s">
        <v>14</v>
      </c>
      <c r="J252">
        <v>1</v>
      </c>
      <c r="K252" t="str">
        <f t="shared" si="3"/>
        <v>Affected</v>
      </c>
      <c r="L252" t="str" cm="1">
        <f t="array" ref="L252">_xlfn.IFS(B252&gt;60,"Older Adult(&gt;60)",B252&gt;35,"Middle-aged Adult(36-60)",B252&gt;18,"Young Adult(19-35)",B252&gt;12,"Adolescent(13-18)",B252&gt;0,"Child(&lt;13)")</f>
        <v>Middle-aged Adult(36-60)</v>
      </c>
    </row>
    <row r="253" spans="1:12">
      <c r="A253" t="s">
        <v>10</v>
      </c>
      <c r="B253">
        <v>10</v>
      </c>
      <c r="C253">
        <v>0</v>
      </c>
      <c r="D253">
        <v>0</v>
      </c>
      <c r="E253">
        <v>1</v>
      </c>
      <c r="F253" t="s">
        <v>28</v>
      </c>
      <c r="G253" t="s">
        <v>17</v>
      </c>
      <c r="H253" t="s">
        <v>24</v>
      </c>
      <c r="I253" t="s">
        <v>14</v>
      </c>
      <c r="J253">
        <v>0</v>
      </c>
      <c r="K253" t="str">
        <f t="shared" si="3"/>
        <v>Not Affected</v>
      </c>
      <c r="L253" t="str" cm="1">
        <f t="array" ref="L253">_xlfn.IFS(B253&gt;60,"Older Adult(&gt;60)",B253&gt;35,"Middle-aged Adult(36-60)",B253&gt;18,"Young Adult(19-35)",B253&gt;12,"Adolescent(13-18)",B253&gt;0,"Child(&lt;13)")</f>
        <v>Child(&lt;13)</v>
      </c>
    </row>
    <row r="254" spans="1:12">
      <c r="A254" t="s">
        <v>10</v>
      </c>
      <c r="B254">
        <v>20</v>
      </c>
      <c r="C254">
        <v>0</v>
      </c>
      <c r="D254">
        <v>0</v>
      </c>
      <c r="E254">
        <v>0</v>
      </c>
      <c r="F254" t="s">
        <v>23</v>
      </c>
      <c r="G254" t="s">
        <v>12</v>
      </c>
      <c r="H254" t="s">
        <v>24</v>
      </c>
      <c r="I254" t="s">
        <v>14</v>
      </c>
      <c r="J254">
        <v>0</v>
      </c>
      <c r="K254" t="str">
        <f t="shared" si="3"/>
        <v>Not Affected</v>
      </c>
      <c r="L254" t="str" cm="1">
        <f t="array" ref="L254">_xlfn.IFS(B254&gt;60,"Older Adult(&gt;60)",B254&gt;35,"Middle-aged Adult(36-60)",B254&gt;18,"Young Adult(19-35)",B254&gt;12,"Adolescent(13-18)",B254&gt;0,"Child(&lt;13)")</f>
        <v>Young Adult(19-35)</v>
      </c>
    </row>
    <row r="255" spans="1:12">
      <c r="A255" t="s">
        <v>15</v>
      </c>
      <c r="B255">
        <v>26</v>
      </c>
      <c r="C255">
        <v>0</v>
      </c>
      <c r="D255">
        <v>0</v>
      </c>
      <c r="E255">
        <v>0</v>
      </c>
      <c r="F255" t="s">
        <v>25</v>
      </c>
      <c r="G255" t="s">
        <v>17</v>
      </c>
      <c r="H255" t="s">
        <v>19</v>
      </c>
      <c r="I255" t="s">
        <v>14</v>
      </c>
      <c r="J255">
        <v>0</v>
      </c>
      <c r="K255" t="str">
        <f t="shared" si="3"/>
        <v>Not Affected</v>
      </c>
      <c r="L255" t="str" cm="1">
        <f t="array" ref="L255">_xlfn.IFS(B255&gt;60,"Older Adult(&gt;60)",B255&gt;35,"Middle-aged Adult(36-60)",B255&gt;18,"Young Adult(19-35)",B255&gt;12,"Adolescent(13-18)",B255&gt;0,"Child(&lt;13)")</f>
        <v>Young Adult(19-35)</v>
      </c>
    </row>
    <row r="256" spans="1:12">
      <c r="A256" t="s">
        <v>15</v>
      </c>
      <c r="B256">
        <v>29</v>
      </c>
      <c r="C256">
        <v>0</v>
      </c>
      <c r="D256">
        <v>0</v>
      </c>
      <c r="E256">
        <v>0</v>
      </c>
      <c r="F256" t="s">
        <v>41</v>
      </c>
      <c r="G256" t="s">
        <v>12</v>
      </c>
      <c r="H256" t="s">
        <v>24</v>
      </c>
      <c r="I256" t="s">
        <v>14</v>
      </c>
      <c r="J256">
        <v>0</v>
      </c>
      <c r="K256" t="str">
        <f t="shared" si="3"/>
        <v>Not Affected</v>
      </c>
      <c r="L256" t="str" cm="1">
        <f t="array" ref="L256">_xlfn.IFS(B256&gt;60,"Older Adult(&gt;60)",B256&gt;35,"Middle-aged Adult(36-60)",B256&gt;18,"Young Adult(19-35)",B256&gt;12,"Adolescent(13-18)",B256&gt;0,"Child(&lt;13)")</f>
        <v>Young Adult(19-35)</v>
      </c>
    </row>
    <row r="257" spans="1:12">
      <c r="A257" t="s">
        <v>15</v>
      </c>
      <c r="B257">
        <v>39</v>
      </c>
      <c r="C257">
        <v>1</v>
      </c>
      <c r="D257">
        <v>1</v>
      </c>
      <c r="E257">
        <v>1</v>
      </c>
      <c r="F257" t="s">
        <v>29</v>
      </c>
      <c r="G257" t="s">
        <v>17</v>
      </c>
      <c r="H257" t="s">
        <v>19</v>
      </c>
      <c r="I257" t="s">
        <v>14</v>
      </c>
      <c r="J257">
        <v>1</v>
      </c>
      <c r="K257" t="str">
        <f t="shared" si="3"/>
        <v>Affected</v>
      </c>
      <c r="L257" t="str" cm="1">
        <f t="array" ref="L257">_xlfn.IFS(B257&gt;60,"Older Adult(&gt;60)",B257&gt;35,"Middle-aged Adult(36-60)",B257&gt;18,"Young Adult(19-35)",B257&gt;12,"Adolescent(13-18)",B257&gt;0,"Child(&lt;13)")</f>
        <v>Middle-aged Adult(36-60)</v>
      </c>
    </row>
    <row r="258" spans="1:12">
      <c r="A258" t="s">
        <v>10</v>
      </c>
      <c r="B258">
        <v>65</v>
      </c>
      <c r="C258">
        <v>1</v>
      </c>
      <c r="D258">
        <v>1</v>
      </c>
      <c r="E258">
        <v>1</v>
      </c>
      <c r="F258" t="s">
        <v>42</v>
      </c>
      <c r="G258" t="s">
        <v>12</v>
      </c>
      <c r="H258" t="s">
        <v>19</v>
      </c>
      <c r="I258" t="s">
        <v>14</v>
      </c>
      <c r="J258">
        <v>1</v>
      </c>
      <c r="K258" t="str">
        <f t="shared" si="3"/>
        <v>Affected</v>
      </c>
      <c r="L258" t="str" cm="1">
        <f t="array" ref="L258">_xlfn.IFS(B258&gt;60,"Older Adult(&gt;60)",B258&gt;35,"Middle-aged Adult(36-60)",B258&gt;18,"Young Adult(19-35)",B258&gt;12,"Adolescent(13-18)",B258&gt;0,"Child(&lt;13)")</f>
        <v>Older Adult(&gt;60)</v>
      </c>
    </row>
    <row r="259" spans="1:12">
      <c r="A259" t="s">
        <v>10</v>
      </c>
      <c r="B259">
        <v>38</v>
      </c>
      <c r="C259">
        <v>0</v>
      </c>
      <c r="D259">
        <v>0</v>
      </c>
      <c r="E259">
        <v>1</v>
      </c>
      <c r="F259" t="s">
        <v>49</v>
      </c>
      <c r="G259" t="s">
        <v>17</v>
      </c>
      <c r="H259" t="s">
        <v>19</v>
      </c>
      <c r="I259" t="s">
        <v>14</v>
      </c>
      <c r="J259">
        <v>0</v>
      </c>
      <c r="K259" t="str">
        <f t="shared" ref="K259:K322" si="4">IF(J259=0, "Not Affected", "Affected")</f>
        <v>Not Affected</v>
      </c>
      <c r="L259" t="str" cm="1">
        <f t="array" ref="L259">_xlfn.IFS(B259&gt;60,"Older Adult(&gt;60)",B259&gt;35,"Middle-aged Adult(36-60)",B259&gt;18,"Young Adult(19-35)",B259&gt;12,"Adolescent(13-18)",B259&gt;0,"Child(&lt;13)")</f>
        <v>Middle-aged Adult(36-60)</v>
      </c>
    </row>
    <row r="260" spans="1:12">
      <c r="A260" t="s">
        <v>15</v>
      </c>
      <c r="B260">
        <v>14</v>
      </c>
      <c r="C260">
        <v>0</v>
      </c>
      <c r="D260">
        <v>0</v>
      </c>
      <c r="E260">
        <v>0</v>
      </c>
      <c r="F260" t="s">
        <v>49</v>
      </c>
      <c r="G260" t="s">
        <v>12</v>
      </c>
      <c r="H260" t="s">
        <v>24</v>
      </c>
      <c r="I260" t="s">
        <v>14</v>
      </c>
      <c r="J260">
        <v>0</v>
      </c>
      <c r="K260" t="str">
        <f t="shared" si="4"/>
        <v>Not Affected</v>
      </c>
      <c r="L260" t="str" cm="1">
        <f t="array" ref="L260">_xlfn.IFS(B260&gt;60,"Older Adult(&gt;60)",B260&gt;35,"Middle-aged Adult(36-60)",B260&gt;18,"Young Adult(19-35)",B260&gt;12,"Adolescent(13-18)",B260&gt;0,"Child(&lt;13)")</f>
        <v>Adolescent(13-18)</v>
      </c>
    </row>
    <row r="261" spans="1:12">
      <c r="A261" t="s">
        <v>10</v>
      </c>
      <c r="B261">
        <v>62</v>
      </c>
      <c r="C261">
        <v>0</v>
      </c>
      <c r="D261">
        <v>0</v>
      </c>
      <c r="E261">
        <v>0</v>
      </c>
      <c r="F261" t="s">
        <v>26</v>
      </c>
      <c r="G261" t="s">
        <v>17</v>
      </c>
      <c r="H261" t="s">
        <v>24</v>
      </c>
      <c r="I261" t="s">
        <v>14</v>
      </c>
      <c r="J261">
        <v>0</v>
      </c>
      <c r="K261" t="str">
        <f t="shared" si="4"/>
        <v>Not Affected</v>
      </c>
      <c r="L261" t="str" cm="1">
        <f t="array" ref="L261">_xlfn.IFS(B261&gt;60,"Older Adult(&gt;60)",B261&gt;35,"Middle-aged Adult(36-60)",B261&gt;18,"Young Adult(19-35)",B261&gt;12,"Adolescent(13-18)",B261&gt;0,"Child(&lt;13)")</f>
        <v>Older Adult(&gt;60)</v>
      </c>
    </row>
    <row r="262" spans="1:12">
      <c r="A262" t="s">
        <v>10</v>
      </c>
      <c r="B262">
        <v>37</v>
      </c>
      <c r="C262">
        <v>0</v>
      </c>
      <c r="D262">
        <v>0</v>
      </c>
      <c r="E262">
        <v>1</v>
      </c>
      <c r="F262" t="s">
        <v>40</v>
      </c>
      <c r="G262" t="s">
        <v>12</v>
      </c>
      <c r="H262" t="s">
        <v>19</v>
      </c>
      <c r="I262" t="s">
        <v>14</v>
      </c>
      <c r="J262">
        <v>0</v>
      </c>
      <c r="K262" t="str">
        <f t="shared" si="4"/>
        <v>Not Affected</v>
      </c>
      <c r="L262" t="str" cm="1">
        <f t="array" ref="L262">_xlfn.IFS(B262&gt;60,"Older Adult(&gt;60)",B262&gt;35,"Middle-aged Adult(36-60)",B262&gt;18,"Young Adult(19-35)",B262&gt;12,"Adolescent(13-18)",B262&gt;0,"Child(&lt;13)")</f>
        <v>Middle-aged Adult(36-60)</v>
      </c>
    </row>
    <row r="263" spans="1:12">
      <c r="A263" t="s">
        <v>10</v>
      </c>
      <c r="B263">
        <v>25</v>
      </c>
      <c r="C263">
        <v>1</v>
      </c>
      <c r="D263">
        <v>1</v>
      </c>
      <c r="E263">
        <v>1</v>
      </c>
      <c r="F263" t="s">
        <v>45</v>
      </c>
      <c r="G263" t="s">
        <v>17</v>
      </c>
      <c r="H263" t="s">
        <v>24</v>
      </c>
      <c r="I263" t="s">
        <v>14</v>
      </c>
      <c r="J263">
        <v>1</v>
      </c>
      <c r="K263" t="str">
        <f t="shared" si="4"/>
        <v>Affected</v>
      </c>
      <c r="L263" t="str" cm="1">
        <f t="array" ref="L263">_xlfn.IFS(B263&gt;60,"Older Adult(&gt;60)",B263&gt;35,"Middle-aged Adult(36-60)",B263&gt;18,"Young Adult(19-35)",B263&gt;12,"Adolescent(13-18)",B263&gt;0,"Child(&lt;13)")</f>
        <v>Young Adult(19-35)</v>
      </c>
    </row>
    <row r="264" spans="1:12">
      <c r="A264" t="s">
        <v>10</v>
      </c>
      <c r="B264">
        <v>64</v>
      </c>
      <c r="C264">
        <v>1</v>
      </c>
      <c r="D264">
        <v>1</v>
      </c>
      <c r="E264">
        <v>0</v>
      </c>
      <c r="F264" t="s">
        <v>50</v>
      </c>
      <c r="G264" t="s">
        <v>12</v>
      </c>
      <c r="H264" t="s">
        <v>24</v>
      </c>
      <c r="I264" t="s">
        <v>14</v>
      </c>
      <c r="J264">
        <v>1</v>
      </c>
      <c r="K264" t="str">
        <f t="shared" si="4"/>
        <v>Affected</v>
      </c>
      <c r="L264" t="str" cm="1">
        <f t="array" ref="L264">_xlfn.IFS(B264&gt;60,"Older Adult(&gt;60)",B264&gt;35,"Middle-aged Adult(36-60)",B264&gt;18,"Young Adult(19-35)",B264&gt;12,"Adolescent(13-18)",B264&gt;0,"Child(&lt;13)")</f>
        <v>Older Adult(&gt;60)</v>
      </c>
    </row>
    <row r="265" spans="1:12">
      <c r="A265" t="s">
        <v>10</v>
      </c>
      <c r="B265">
        <v>51</v>
      </c>
      <c r="C265">
        <v>1</v>
      </c>
      <c r="D265">
        <v>1</v>
      </c>
      <c r="E265">
        <v>1</v>
      </c>
      <c r="F265" t="s">
        <v>33</v>
      </c>
      <c r="G265" t="s">
        <v>17</v>
      </c>
      <c r="H265" t="s">
        <v>19</v>
      </c>
      <c r="I265" t="s">
        <v>14</v>
      </c>
      <c r="J265">
        <v>1</v>
      </c>
      <c r="K265" t="str">
        <f t="shared" si="4"/>
        <v>Affected</v>
      </c>
      <c r="L265" t="str" cm="1">
        <f t="array" ref="L265">_xlfn.IFS(B265&gt;60,"Older Adult(&gt;60)",B265&gt;35,"Middle-aged Adult(36-60)",B265&gt;18,"Young Adult(19-35)",B265&gt;12,"Adolescent(13-18)",B265&gt;0,"Child(&lt;13)")</f>
        <v>Middle-aged Adult(36-60)</v>
      </c>
    </row>
    <row r="266" spans="1:12">
      <c r="A266" t="s">
        <v>10</v>
      </c>
      <c r="B266">
        <v>11</v>
      </c>
      <c r="C266">
        <v>0</v>
      </c>
      <c r="D266">
        <v>0</v>
      </c>
      <c r="E266">
        <v>1</v>
      </c>
      <c r="F266" t="s">
        <v>11</v>
      </c>
      <c r="G266" t="s">
        <v>12</v>
      </c>
      <c r="H266" t="s">
        <v>13</v>
      </c>
      <c r="I266" t="s">
        <v>14</v>
      </c>
      <c r="J266">
        <v>0</v>
      </c>
      <c r="K266" t="str">
        <f t="shared" si="4"/>
        <v>Not Affected</v>
      </c>
      <c r="L266" t="str" cm="1">
        <f t="array" ref="L266">_xlfn.IFS(B266&gt;60,"Older Adult(&gt;60)",B266&gt;35,"Middle-aged Adult(36-60)",B266&gt;18,"Young Adult(19-35)",B266&gt;12,"Adolescent(13-18)",B266&gt;0,"Child(&lt;13)")</f>
        <v>Child(&lt;13)</v>
      </c>
    </row>
    <row r="267" spans="1:12">
      <c r="A267" t="s">
        <v>15</v>
      </c>
      <c r="B267">
        <v>20</v>
      </c>
      <c r="C267">
        <v>1</v>
      </c>
      <c r="D267">
        <v>1</v>
      </c>
      <c r="E267">
        <v>1</v>
      </c>
      <c r="F267" t="s">
        <v>41</v>
      </c>
      <c r="G267" t="s">
        <v>17</v>
      </c>
      <c r="H267" t="s">
        <v>13</v>
      </c>
      <c r="I267" t="s">
        <v>14</v>
      </c>
      <c r="J267">
        <v>1</v>
      </c>
      <c r="K267" t="str">
        <f t="shared" si="4"/>
        <v>Affected</v>
      </c>
      <c r="L267" t="str" cm="1">
        <f t="array" ref="L267">_xlfn.IFS(B267&gt;60,"Older Adult(&gt;60)",B267&gt;35,"Middle-aged Adult(36-60)",B267&gt;18,"Young Adult(19-35)",B267&gt;12,"Adolescent(13-18)",B267&gt;0,"Child(&lt;13)")</f>
        <v>Young Adult(19-35)</v>
      </c>
    </row>
    <row r="268" spans="1:12">
      <c r="A268" t="s">
        <v>15</v>
      </c>
      <c r="B268">
        <v>8</v>
      </c>
      <c r="C268">
        <v>0</v>
      </c>
      <c r="D268">
        <v>0</v>
      </c>
      <c r="E268">
        <v>0</v>
      </c>
      <c r="F268" t="s">
        <v>47</v>
      </c>
      <c r="G268" t="s">
        <v>12</v>
      </c>
      <c r="H268" t="s">
        <v>24</v>
      </c>
      <c r="I268" t="s">
        <v>14</v>
      </c>
      <c r="J268">
        <v>0</v>
      </c>
      <c r="K268" t="str">
        <f t="shared" si="4"/>
        <v>Not Affected</v>
      </c>
      <c r="L268" t="str" cm="1">
        <f t="array" ref="L268">_xlfn.IFS(B268&gt;60,"Older Adult(&gt;60)",B268&gt;35,"Middle-aged Adult(36-60)",B268&gt;18,"Young Adult(19-35)",B268&gt;12,"Adolescent(13-18)",B268&gt;0,"Child(&lt;13)")</f>
        <v>Child(&lt;13)</v>
      </c>
    </row>
    <row r="269" spans="1:12">
      <c r="A269" t="s">
        <v>15</v>
      </c>
      <c r="B269">
        <v>27</v>
      </c>
      <c r="C269">
        <v>1</v>
      </c>
      <c r="D269">
        <v>1</v>
      </c>
      <c r="E269">
        <v>1</v>
      </c>
      <c r="F269" t="s">
        <v>44</v>
      </c>
      <c r="G269" t="s">
        <v>17</v>
      </c>
      <c r="H269" t="s">
        <v>24</v>
      </c>
      <c r="I269" t="s">
        <v>14</v>
      </c>
      <c r="J269">
        <v>1</v>
      </c>
      <c r="K269" t="str">
        <f t="shared" si="4"/>
        <v>Affected</v>
      </c>
      <c r="L269" t="str" cm="1">
        <f t="array" ref="L269">_xlfn.IFS(B269&gt;60,"Older Adult(&gt;60)",B269&gt;35,"Middle-aged Adult(36-60)",B269&gt;18,"Young Adult(19-35)",B269&gt;12,"Adolescent(13-18)",B269&gt;0,"Child(&lt;13)")</f>
        <v>Young Adult(19-35)</v>
      </c>
    </row>
    <row r="270" spans="1:12">
      <c r="A270" t="s">
        <v>10</v>
      </c>
      <c r="B270">
        <v>44</v>
      </c>
      <c r="C270">
        <v>1</v>
      </c>
      <c r="D270">
        <v>1</v>
      </c>
      <c r="E270">
        <v>1</v>
      </c>
      <c r="F270" t="s">
        <v>20</v>
      </c>
      <c r="G270" t="s">
        <v>12</v>
      </c>
      <c r="H270" t="s">
        <v>13</v>
      </c>
      <c r="I270" t="s">
        <v>14</v>
      </c>
      <c r="J270">
        <v>1</v>
      </c>
      <c r="K270" t="str">
        <f t="shared" si="4"/>
        <v>Affected</v>
      </c>
      <c r="L270" t="str" cm="1">
        <f t="array" ref="L270">_xlfn.IFS(B270&gt;60,"Older Adult(&gt;60)",B270&gt;35,"Middle-aged Adult(36-60)",B270&gt;18,"Young Adult(19-35)",B270&gt;12,"Adolescent(13-18)",B270&gt;0,"Child(&lt;13)")</f>
        <v>Middle-aged Adult(36-60)</v>
      </c>
    </row>
    <row r="271" spans="1:12">
      <c r="A271" t="s">
        <v>10</v>
      </c>
      <c r="B271">
        <v>28</v>
      </c>
      <c r="C271">
        <v>1</v>
      </c>
      <c r="D271">
        <v>1</v>
      </c>
      <c r="E271">
        <v>0</v>
      </c>
      <c r="F271" t="s">
        <v>22</v>
      </c>
      <c r="G271" t="s">
        <v>17</v>
      </c>
      <c r="H271" t="s">
        <v>24</v>
      </c>
      <c r="I271" t="s">
        <v>14</v>
      </c>
      <c r="J271">
        <v>1</v>
      </c>
      <c r="K271" t="str">
        <f t="shared" si="4"/>
        <v>Affected</v>
      </c>
      <c r="L271" t="str" cm="1">
        <f t="array" ref="L271">_xlfn.IFS(B271&gt;60,"Older Adult(&gt;60)",B271&gt;35,"Middle-aged Adult(36-60)",B271&gt;18,"Young Adult(19-35)",B271&gt;12,"Adolescent(13-18)",B271&gt;0,"Child(&lt;13)")</f>
        <v>Young Adult(19-35)</v>
      </c>
    </row>
    <row r="272" spans="1:12">
      <c r="A272" t="s">
        <v>15</v>
      </c>
      <c r="B272">
        <v>38</v>
      </c>
      <c r="C272">
        <v>0</v>
      </c>
      <c r="D272">
        <v>0</v>
      </c>
      <c r="E272">
        <v>0</v>
      </c>
      <c r="F272" t="s">
        <v>36</v>
      </c>
      <c r="G272" t="s">
        <v>12</v>
      </c>
      <c r="H272" t="s">
        <v>24</v>
      </c>
      <c r="I272" t="s">
        <v>14</v>
      </c>
      <c r="J272">
        <v>0</v>
      </c>
      <c r="K272" t="str">
        <f t="shared" si="4"/>
        <v>Not Affected</v>
      </c>
      <c r="L272" t="str" cm="1">
        <f t="array" ref="L272">_xlfn.IFS(B272&gt;60,"Older Adult(&gt;60)",B272&gt;35,"Middle-aged Adult(36-60)",B272&gt;18,"Young Adult(19-35)",B272&gt;12,"Adolescent(13-18)",B272&gt;0,"Child(&lt;13)")</f>
        <v>Middle-aged Adult(36-60)</v>
      </c>
    </row>
    <row r="273" spans="1:12">
      <c r="A273" t="s">
        <v>15</v>
      </c>
      <c r="B273">
        <v>27</v>
      </c>
      <c r="C273">
        <v>0</v>
      </c>
      <c r="D273">
        <v>0</v>
      </c>
      <c r="E273">
        <v>0</v>
      </c>
      <c r="F273" t="s">
        <v>50</v>
      </c>
      <c r="G273" t="s">
        <v>17</v>
      </c>
      <c r="H273" t="s">
        <v>24</v>
      </c>
      <c r="I273" t="s">
        <v>14</v>
      </c>
      <c r="J273">
        <v>0</v>
      </c>
      <c r="K273" t="str">
        <f t="shared" si="4"/>
        <v>Not Affected</v>
      </c>
      <c r="L273" t="str" cm="1">
        <f t="array" ref="L273">_xlfn.IFS(B273&gt;60,"Older Adult(&gt;60)",B273&gt;35,"Middle-aged Adult(36-60)",B273&gt;18,"Young Adult(19-35)",B273&gt;12,"Adolescent(13-18)",B273&gt;0,"Child(&lt;13)")</f>
        <v>Young Adult(19-35)</v>
      </c>
    </row>
    <row r="274" spans="1:12">
      <c r="A274" t="s">
        <v>15</v>
      </c>
      <c r="B274">
        <v>36</v>
      </c>
      <c r="C274">
        <v>1</v>
      </c>
      <c r="D274">
        <v>1</v>
      </c>
      <c r="E274">
        <v>0</v>
      </c>
      <c r="F274" t="s">
        <v>49</v>
      </c>
      <c r="G274" t="s">
        <v>12</v>
      </c>
      <c r="H274" t="s">
        <v>13</v>
      </c>
      <c r="I274" t="s">
        <v>14</v>
      </c>
      <c r="J274">
        <v>1</v>
      </c>
      <c r="K274" t="str">
        <f t="shared" si="4"/>
        <v>Affected</v>
      </c>
      <c r="L274" t="str" cm="1">
        <f t="array" ref="L274">_xlfn.IFS(B274&gt;60,"Older Adult(&gt;60)",B274&gt;35,"Middle-aged Adult(36-60)",B274&gt;18,"Young Adult(19-35)",B274&gt;12,"Adolescent(13-18)",B274&gt;0,"Child(&lt;13)")</f>
        <v>Middle-aged Adult(36-60)</v>
      </c>
    </row>
    <row r="275" spans="1:12">
      <c r="A275" t="s">
        <v>10</v>
      </c>
      <c r="B275">
        <v>65</v>
      </c>
      <c r="C275">
        <v>0</v>
      </c>
      <c r="D275">
        <v>0</v>
      </c>
      <c r="E275">
        <v>1</v>
      </c>
      <c r="F275" t="s">
        <v>18</v>
      </c>
      <c r="G275" t="s">
        <v>17</v>
      </c>
      <c r="H275" t="s">
        <v>13</v>
      </c>
      <c r="I275" t="s">
        <v>14</v>
      </c>
      <c r="J275">
        <v>0</v>
      </c>
      <c r="K275" t="str">
        <f t="shared" si="4"/>
        <v>Not Affected</v>
      </c>
      <c r="L275" t="str" cm="1">
        <f t="array" ref="L275">_xlfn.IFS(B275&gt;60,"Older Adult(&gt;60)",B275&gt;35,"Middle-aged Adult(36-60)",B275&gt;18,"Young Adult(19-35)",B275&gt;12,"Adolescent(13-18)",B275&gt;0,"Child(&lt;13)")</f>
        <v>Older Adult(&gt;60)</v>
      </c>
    </row>
    <row r="276" spans="1:12">
      <c r="A276" t="s">
        <v>10</v>
      </c>
      <c r="B276">
        <v>38</v>
      </c>
      <c r="C276">
        <v>1</v>
      </c>
      <c r="D276">
        <v>1</v>
      </c>
      <c r="E276">
        <v>0</v>
      </c>
      <c r="F276" t="s">
        <v>35</v>
      </c>
      <c r="G276" t="s">
        <v>12</v>
      </c>
      <c r="H276" t="s">
        <v>19</v>
      </c>
      <c r="I276" t="s">
        <v>14</v>
      </c>
      <c r="J276">
        <v>1</v>
      </c>
      <c r="K276" t="str">
        <f t="shared" si="4"/>
        <v>Affected</v>
      </c>
      <c r="L276" t="str" cm="1">
        <f t="array" ref="L276">_xlfn.IFS(B276&gt;60,"Older Adult(&gt;60)",B276&gt;35,"Middle-aged Adult(36-60)",B276&gt;18,"Young Adult(19-35)",B276&gt;12,"Adolescent(13-18)",B276&gt;0,"Child(&lt;13)")</f>
        <v>Middle-aged Adult(36-60)</v>
      </c>
    </row>
    <row r="277" spans="1:12">
      <c r="A277" t="s">
        <v>10</v>
      </c>
      <c r="B277">
        <v>42</v>
      </c>
      <c r="C277">
        <v>1</v>
      </c>
      <c r="D277">
        <v>1</v>
      </c>
      <c r="E277">
        <v>0</v>
      </c>
      <c r="F277" t="s">
        <v>25</v>
      </c>
      <c r="G277" t="s">
        <v>17</v>
      </c>
      <c r="H277" t="s">
        <v>13</v>
      </c>
      <c r="I277" t="s">
        <v>14</v>
      </c>
      <c r="J277">
        <v>1</v>
      </c>
      <c r="K277" t="str">
        <f t="shared" si="4"/>
        <v>Affected</v>
      </c>
      <c r="L277" t="str" cm="1">
        <f t="array" ref="L277">_xlfn.IFS(B277&gt;60,"Older Adult(&gt;60)",B277&gt;35,"Middle-aged Adult(36-60)",B277&gt;18,"Young Adult(19-35)",B277&gt;12,"Adolescent(13-18)",B277&gt;0,"Child(&lt;13)")</f>
        <v>Middle-aged Adult(36-60)</v>
      </c>
    </row>
    <row r="278" spans="1:12">
      <c r="A278" t="s">
        <v>15</v>
      </c>
      <c r="B278">
        <v>10</v>
      </c>
      <c r="C278">
        <v>1</v>
      </c>
      <c r="D278">
        <v>1</v>
      </c>
      <c r="E278">
        <v>1</v>
      </c>
      <c r="F278" t="s">
        <v>48</v>
      </c>
      <c r="G278" t="s">
        <v>12</v>
      </c>
      <c r="H278" t="s">
        <v>13</v>
      </c>
      <c r="I278" t="s">
        <v>14</v>
      </c>
      <c r="J278">
        <v>1</v>
      </c>
      <c r="K278" t="str">
        <f t="shared" si="4"/>
        <v>Affected</v>
      </c>
      <c r="L278" t="str" cm="1">
        <f t="array" ref="L278">_xlfn.IFS(B278&gt;60,"Older Adult(&gt;60)",B278&gt;35,"Middle-aged Adult(36-60)",B278&gt;18,"Young Adult(19-35)",B278&gt;12,"Adolescent(13-18)",B278&gt;0,"Child(&lt;13)")</f>
        <v>Child(&lt;13)</v>
      </c>
    </row>
    <row r="279" spans="1:12">
      <c r="A279" t="s">
        <v>15</v>
      </c>
      <c r="B279">
        <v>44</v>
      </c>
      <c r="C279">
        <v>0</v>
      </c>
      <c r="D279">
        <v>0</v>
      </c>
      <c r="E279">
        <v>0</v>
      </c>
      <c r="F279" t="s">
        <v>42</v>
      </c>
      <c r="G279" t="s">
        <v>17</v>
      </c>
      <c r="H279" t="s">
        <v>24</v>
      </c>
      <c r="I279" t="s">
        <v>14</v>
      </c>
      <c r="J279">
        <v>0</v>
      </c>
      <c r="K279" t="str">
        <f t="shared" si="4"/>
        <v>Not Affected</v>
      </c>
      <c r="L279" t="str" cm="1">
        <f t="array" ref="L279">_xlfn.IFS(B279&gt;60,"Older Adult(&gt;60)",B279&gt;35,"Middle-aged Adult(36-60)",B279&gt;18,"Young Adult(19-35)",B279&gt;12,"Adolescent(13-18)",B279&gt;0,"Child(&lt;13)")</f>
        <v>Middle-aged Adult(36-60)</v>
      </c>
    </row>
    <row r="280" spans="1:12">
      <c r="A280" t="s">
        <v>15</v>
      </c>
      <c r="B280">
        <v>19</v>
      </c>
      <c r="C280">
        <v>1</v>
      </c>
      <c r="D280">
        <v>1</v>
      </c>
      <c r="E280">
        <v>1</v>
      </c>
      <c r="F280" t="s">
        <v>38</v>
      </c>
      <c r="G280" t="s">
        <v>12</v>
      </c>
      <c r="H280" t="s">
        <v>19</v>
      </c>
      <c r="I280" t="s">
        <v>14</v>
      </c>
      <c r="J280">
        <v>1</v>
      </c>
      <c r="K280" t="str">
        <f t="shared" si="4"/>
        <v>Affected</v>
      </c>
      <c r="L280" t="str" cm="1">
        <f t="array" ref="L280">_xlfn.IFS(B280&gt;60,"Older Adult(&gt;60)",B280&gt;35,"Middle-aged Adult(36-60)",B280&gt;18,"Young Adult(19-35)",B280&gt;12,"Adolescent(13-18)",B280&gt;0,"Child(&lt;13)")</f>
        <v>Young Adult(19-35)</v>
      </c>
    </row>
    <row r="281" spans="1:12">
      <c r="A281" t="s">
        <v>15</v>
      </c>
      <c r="B281">
        <v>18</v>
      </c>
      <c r="C281">
        <v>1</v>
      </c>
      <c r="D281">
        <v>1</v>
      </c>
      <c r="E281">
        <v>1</v>
      </c>
      <c r="F281" t="s">
        <v>36</v>
      </c>
      <c r="G281" t="s">
        <v>17</v>
      </c>
      <c r="H281" t="s">
        <v>19</v>
      </c>
      <c r="I281" t="s">
        <v>14</v>
      </c>
      <c r="J281">
        <v>1</v>
      </c>
      <c r="K281" t="str">
        <f t="shared" si="4"/>
        <v>Affected</v>
      </c>
      <c r="L281" t="str" cm="1">
        <f t="array" ref="L281">_xlfn.IFS(B281&gt;60,"Older Adult(&gt;60)",B281&gt;35,"Middle-aged Adult(36-60)",B281&gt;18,"Young Adult(19-35)",B281&gt;12,"Adolescent(13-18)",B281&gt;0,"Child(&lt;13)")</f>
        <v>Adolescent(13-18)</v>
      </c>
    </row>
    <row r="282" spans="1:12">
      <c r="A282" t="s">
        <v>15</v>
      </c>
      <c r="B282">
        <v>29</v>
      </c>
      <c r="C282">
        <v>0</v>
      </c>
      <c r="D282">
        <v>0</v>
      </c>
      <c r="E282">
        <v>1</v>
      </c>
      <c r="F282" t="s">
        <v>51</v>
      </c>
      <c r="G282" t="s">
        <v>12</v>
      </c>
      <c r="H282" t="s">
        <v>19</v>
      </c>
      <c r="I282" t="s">
        <v>14</v>
      </c>
      <c r="J282">
        <v>0</v>
      </c>
      <c r="K282" t="str">
        <f t="shared" si="4"/>
        <v>Not Affected</v>
      </c>
      <c r="L282" t="str" cm="1">
        <f t="array" ref="L282">_xlfn.IFS(B282&gt;60,"Older Adult(&gt;60)",B282&gt;35,"Middle-aged Adult(36-60)",B282&gt;18,"Young Adult(19-35)",B282&gt;12,"Adolescent(13-18)",B282&gt;0,"Child(&lt;13)")</f>
        <v>Young Adult(19-35)</v>
      </c>
    </row>
    <row r="283" spans="1:12">
      <c r="A283" t="s">
        <v>15</v>
      </c>
      <c r="B283">
        <v>58</v>
      </c>
      <c r="C283">
        <v>1</v>
      </c>
      <c r="D283">
        <v>1</v>
      </c>
      <c r="E283">
        <v>1</v>
      </c>
      <c r="F283" t="s">
        <v>49</v>
      </c>
      <c r="G283" t="s">
        <v>17</v>
      </c>
      <c r="H283" t="s">
        <v>19</v>
      </c>
      <c r="I283" t="s">
        <v>14</v>
      </c>
      <c r="J283">
        <v>1</v>
      </c>
      <c r="K283" t="str">
        <f t="shared" si="4"/>
        <v>Affected</v>
      </c>
      <c r="L283" t="str" cm="1">
        <f t="array" ref="L283">_xlfn.IFS(B283&gt;60,"Older Adult(&gt;60)",B283&gt;35,"Middle-aged Adult(36-60)",B283&gt;18,"Young Adult(19-35)",B283&gt;12,"Adolescent(13-18)",B283&gt;0,"Child(&lt;13)")</f>
        <v>Middle-aged Adult(36-60)</v>
      </c>
    </row>
    <row r="284" spans="1:12">
      <c r="A284" t="s">
        <v>10</v>
      </c>
      <c r="B284">
        <v>45</v>
      </c>
      <c r="C284">
        <v>1</v>
      </c>
      <c r="D284">
        <v>1</v>
      </c>
      <c r="E284">
        <v>1</v>
      </c>
      <c r="F284" t="s">
        <v>28</v>
      </c>
      <c r="G284" t="s">
        <v>12</v>
      </c>
      <c r="H284" t="s">
        <v>19</v>
      </c>
      <c r="I284" t="s">
        <v>14</v>
      </c>
      <c r="J284">
        <v>1</v>
      </c>
      <c r="K284" t="str">
        <f t="shared" si="4"/>
        <v>Affected</v>
      </c>
      <c r="L284" t="str" cm="1">
        <f t="array" ref="L284">_xlfn.IFS(B284&gt;60,"Older Adult(&gt;60)",B284&gt;35,"Middle-aged Adult(36-60)",B284&gt;18,"Young Adult(19-35)",B284&gt;12,"Adolescent(13-18)",B284&gt;0,"Child(&lt;13)")</f>
        <v>Middle-aged Adult(36-60)</v>
      </c>
    </row>
    <row r="285" spans="1:12">
      <c r="A285" t="s">
        <v>10</v>
      </c>
      <c r="B285">
        <v>40</v>
      </c>
      <c r="C285">
        <v>1</v>
      </c>
      <c r="D285">
        <v>1</v>
      </c>
      <c r="E285">
        <v>0</v>
      </c>
      <c r="F285" t="s">
        <v>51</v>
      </c>
      <c r="G285" t="s">
        <v>17</v>
      </c>
      <c r="H285" t="s">
        <v>19</v>
      </c>
      <c r="I285" t="s">
        <v>14</v>
      </c>
      <c r="J285">
        <v>1</v>
      </c>
      <c r="K285" t="str">
        <f t="shared" si="4"/>
        <v>Affected</v>
      </c>
      <c r="L285" t="str" cm="1">
        <f t="array" ref="L285">_xlfn.IFS(B285&gt;60,"Older Adult(&gt;60)",B285&gt;35,"Middle-aged Adult(36-60)",B285&gt;18,"Young Adult(19-35)",B285&gt;12,"Adolescent(13-18)",B285&gt;0,"Child(&lt;13)")</f>
        <v>Middle-aged Adult(36-60)</v>
      </c>
    </row>
    <row r="286" spans="1:12">
      <c r="A286" t="s">
        <v>10</v>
      </c>
      <c r="B286">
        <v>20</v>
      </c>
      <c r="C286">
        <v>0</v>
      </c>
      <c r="D286">
        <v>0</v>
      </c>
      <c r="E286">
        <v>0</v>
      </c>
      <c r="F286" t="s">
        <v>38</v>
      </c>
      <c r="G286" t="s">
        <v>12</v>
      </c>
      <c r="H286" t="s">
        <v>13</v>
      </c>
      <c r="I286" t="s">
        <v>14</v>
      </c>
      <c r="J286">
        <v>0</v>
      </c>
      <c r="K286" t="str">
        <f t="shared" si="4"/>
        <v>Not Affected</v>
      </c>
      <c r="L286" t="str" cm="1">
        <f t="array" ref="L286">_xlfn.IFS(B286&gt;60,"Older Adult(&gt;60)",B286&gt;35,"Middle-aged Adult(36-60)",B286&gt;18,"Young Adult(19-35)",B286&gt;12,"Adolescent(13-18)",B286&gt;0,"Child(&lt;13)")</f>
        <v>Young Adult(19-35)</v>
      </c>
    </row>
    <row r="287" spans="1:12">
      <c r="A287" t="s">
        <v>15</v>
      </c>
      <c r="B287">
        <v>41</v>
      </c>
      <c r="C287">
        <v>0</v>
      </c>
      <c r="D287">
        <v>0</v>
      </c>
      <c r="E287">
        <v>0</v>
      </c>
      <c r="F287" t="s">
        <v>34</v>
      </c>
      <c r="G287" t="s">
        <v>17</v>
      </c>
      <c r="H287" t="s">
        <v>13</v>
      </c>
      <c r="I287" t="s">
        <v>14</v>
      </c>
      <c r="J287">
        <v>0</v>
      </c>
      <c r="K287" t="str">
        <f t="shared" si="4"/>
        <v>Not Affected</v>
      </c>
      <c r="L287" t="str" cm="1">
        <f t="array" ref="L287">_xlfn.IFS(B287&gt;60,"Older Adult(&gt;60)",B287&gt;35,"Middle-aged Adult(36-60)",B287&gt;18,"Young Adult(19-35)",B287&gt;12,"Adolescent(13-18)",B287&gt;0,"Child(&lt;13)")</f>
        <v>Middle-aged Adult(36-60)</v>
      </c>
    </row>
    <row r="288" spans="1:12">
      <c r="A288" t="s">
        <v>15</v>
      </c>
      <c r="B288">
        <v>23</v>
      </c>
      <c r="C288">
        <v>1</v>
      </c>
      <c r="D288">
        <v>1</v>
      </c>
      <c r="E288">
        <v>0</v>
      </c>
      <c r="F288" t="s">
        <v>38</v>
      </c>
      <c r="G288" t="s">
        <v>12</v>
      </c>
      <c r="H288" t="s">
        <v>13</v>
      </c>
      <c r="I288" t="s">
        <v>14</v>
      </c>
      <c r="J288">
        <v>1</v>
      </c>
      <c r="K288" t="str">
        <f t="shared" si="4"/>
        <v>Affected</v>
      </c>
      <c r="L288" t="str" cm="1">
        <f t="array" ref="L288">_xlfn.IFS(B288&gt;60,"Older Adult(&gt;60)",B288&gt;35,"Middle-aged Adult(36-60)",B288&gt;18,"Young Adult(19-35)",B288&gt;12,"Adolescent(13-18)",B288&gt;0,"Child(&lt;13)")</f>
        <v>Young Adult(19-35)</v>
      </c>
    </row>
    <row r="289" spans="1:12">
      <c r="A289" t="s">
        <v>15</v>
      </c>
      <c r="B289">
        <v>29</v>
      </c>
      <c r="C289">
        <v>0</v>
      </c>
      <c r="D289">
        <v>0</v>
      </c>
      <c r="E289">
        <v>0</v>
      </c>
      <c r="F289" t="s">
        <v>52</v>
      </c>
      <c r="G289" t="s">
        <v>17</v>
      </c>
      <c r="H289" t="s">
        <v>13</v>
      </c>
      <c r="I289" t="s">
        <v>14</v>
      </c>
      <c r="J289">
        <v>0</v>
      </c>
      <c r="K289" t="str">
        <f t="shared" si="4"/>
        <v>Not Affected</v>
      </c>
      <c r="L289" t="str" cm="1">
        <f t="array" ref="L289">_xlfn.IFS(B289&gt;60,"Older Adult(&gt;60)",B289&gt;35,"Middle-aged Adult(36-60)",B289&gt;18,"Young Adult(19-35)",B289&gt;12,"Adolescent(13-18)",B289&gt;0,"Child(&lt;13)")</f>
        <v>Young Adult(19-35)</v>
      </c>
    </row>
    <row r="290" spans="1:12">
      <c r="A290" t="s">
        <v>15</v>
      </c>
      <c r="B290">
        <v>48</v>
      </c>
      <c r="C290">
        <v>1</v>
      </c>
      <c r="D290">
        <v>1</v>
      </c>
      <c r="E290">
        <v>1</v>
      </c>
      <c r="F290" t="s">
        <v>37</v>
      </c>
      <c r="G290" t="s">
        <v>12</v>
      </c>
      <c r="H290" t="s">
        <v>13</v>
      </c>
      <c r="I290" t="s">
        <v>14</v>
      </c>
      <c r="J290">
        <v>1</v>
      </c>
      <c r="K290" t="str">
        <f t="shared" si="4"/>
        <v>Affected</v>
      </c>
      <c r="L290" t="str" cm="1">
        <f t="array" ref="L290">_xlfn.IFS(B290&gt;60,"Older Adult(&gt;60)",B290&gt;35,"Middle-aged Adult(36-60)",B290&gt;18,"Young Adult(19-35)",B290&gt;12,"Adolescent(13-18)",B290&gt;0,"Child(&lt;13)")</f>
        <v>Middle-aged Adult(36-60)</v>
      </c>
    </row>
    <row r="291" spans="1:12">
      <c r="A291" t="s">
        <v>10</v>
      </c>
      <c r="B291">
        <v>17</v>
      </c>
      <c r="C291">
        <v>0</v>
      </c>
      <c r="D291">
        <v>0</v>
      </c>
      <c r="E291">
        <v>0</v>
      </c>
      <c r="F291" t="s">
        <v>50</v>
      </c>
      <c r="G291" t="s">
        <v>17</v>
      </c>
      <c r="H291" t="s">
        <v>13</v>
      </c>
      <c r="I291" t="s">
        <v>14</v>
      </c>
      <c r="J291">
        <v>0</v>
      </c>
      <c r="K291" t="str">
        <f t="shared" si="4"/>
        <v>Not Affected</v>
      </c>
      <c r="L291" t="str" cm="1">
        <f t="array" ref="L291">_xlfn.IFS(B291&gt;60,"Older Adult(&gt;60)",B291&gt;35,"Middle-aged Adult(36-60)",B291&gt;18,"Young Adult(19-35)",B291&gt;12,"Adolescent(13-18)",B291&gt;0,"Child(&lt;13)")</f>
        <v>Adolescent(13-18)</v>
      </c>
    </row>
    <row r="292" spans="1:12">
      <c r="A292" t="s">
        <v>10</v>
      </c>
      <c r="B292">
        <v>62</v>
      </c>
      <c r="C292">
        <v>0</v>
      </c>
      <c r="D292">
        <v>0</v>
      </c>
      <c r="E292">
        <v>0</v>
      </c>
      <c r="F292" t="s">
        <v>20</v>
      </c>
      <c r="G292" t="s">
        <v>12</v>
      </c>
      <c r="H292" t="s">
        <v>24</v>
      </c>
      <c r="I292" t="s">
        <v>14</v>
      </c>
      <c r="J292">
        <v>0</v>
      </c>
      <c r="K292" t="str">
        <f t="shared" si="4"/>
        <v>Not Affected</v>
      </c>
      <c r="L292" t="str" cm="1">
        <f t="array" ref="L292">_xlfn.IFS(B292&gt;60,"Older Adult(&gt;60)",B292&gt;35,"Middle-aged Adult(36-60)",B292&gt;18,"Young Adult(19-35)",B292&gt;12,"Adolescent(13-18)",B292&gt;0,"Child(&lt;13)")</f>
        <v>Older Adult(&gt;60)</v>
      </c>
    </row>
    <row r="293" spans="1:12">
      <c r="A293" t="s">
        <v>10</v>
      </c>
      <c r="B293">
        <v>34</v>
      </c>
      <c r="C293">
        <v>1</v>
      </c>
      <c r="D293">
        <v>1</v>
      </c>
      <c r="E293">
        <v>0</v>
      </c>
      <c r="F293" t="s">
        <v>20</v>
      </c>
      <c r="G293" t="s">
        <v>17</v>
      </c>
      <c r="H293" t="s">
        <v>24</v>
      </c>
      <c r="I293" t="s">
        <v>14</v>
      </c>
      <c r="J293">
        <v>1</v>
      </c>
      <c r="K293" t="str">
        <f t="shared" si="4"/>
        <v>Affected</v>
      </c>
      <c r="L293" t="str" cm="1">
        <f t="array" ref="L293">_xlfn.IFS(B293&gt;60,"Older Adult(&gt;60)",B293&gt;35,"Middle-aged Adult(36-60)",B293&gt;18,"Young Adult(19-35)",B293&gt;12,"Adolescent(13-18)",B293&gt;0,"Child(&lt;13)")</f>
        <v>Young Adult(19-35)</v>
      </c>
    </row>
    <row r="294" spans="1:12">
      <c r="A294" t="s">
        <v>10</v>
      </c>
      <c r="B294">
        <v>8</v>
      </c>
      <c r="C294">
        <v>1</v>
      </c>
      <c r="D294">
        <v>1</v>
      </c>
      <c r="E294">
        <v>0</v>
      </c>
      <c r="F294" t="s">
        <v>18</v>
      </c>
      <c r="G294" t="s">
        <v>12</v>
      </c>
      <c r="H294" t="s">
        <v>24</v>
      </c>
      <c r="I294" t="s">
        <v>14</v>
      </c>
      <c r="J294">
        <v>1</v>
      </c>
      <c r="K294" t="str">
        <f t="shared" si="4"/>
        <v>Affected</v>
      </c>
      <c r="L294" t="str" cm="1">
        <f t="array" ref="L294">_xlfn.IFS(B294&gt;60,"Older Adult(&gt;60)",B294&gt;35,"Middle-aged Adult(36-60)",B294&gt;18,"Young Adult(19-35)",B294&gt;12,"Adolescent(13-18)",B294&gt;0,"Child(&lt;13)")</f>
        <v>Child(&lt;13)</v>
      </c>
    </row>
    <row r="295" spans="1:12">
      <c r="A295" t="s">
        <v>15</v>
      </c>
      <c r="B295">
        <v>22</v>
      </c>
      <c r="C295">
        <v>0</v>
      </c>
      <c r="D295">
        <v>0</v>
      </c>
      <c r="E295">
        <v>0</v>
      </c>
      <c r="F295" t="s">
        <v>21</v>
      </c>
      <c r="G295" t="s">
        <v>17</v>
      </c>
      <c r="H295" t="s">
        <v>13</v>
      </c>
      <c r="I295" t="s">
        <v>14</v>
      </c>
      <c r="J295">
        <v>0</v>
      </c>
      <c r="K295" t="str">
        <f t="shared" si="4"/>
        <v>Not Affected</v>
      </c>
      <c r="L295" t="str" cm="1">
        <f t="array" ref="L295">_xlfn.IFS(B295&gt;60,"Older Adult(&gt;60)",B295&gt;35,"Middle-aged Adult(36-60)",B295&gt;18,"Young Adult(19-35)",B295&gt;12,"Adolescent(13-18)",B295&gt;0,"Child(&lt;13)")</f>
        <v>Young Adult(19-35)</v>
      </c>
    </row>
    <row r="296" spans="1:12">
      <c r="A296" t="s">
        <v>15</v>
      </c>
      <c r="B296">
        <v>23</v>
      </c>
      <c r="C296">
        <v>0</v>
      </c>
      <c r="D296">
        <v>0</v>
      </c>
      <c r="E296">
        <v>1</v>
      </c>
      <c r="F296" t="s">
        <v>47</v>
      </c>
      <c r="G296" t="s">
        <v>12</v>
      </c>
      <c r="H296" t="s">
        <v>19</v>
      </c>
      <c r="I296" t="s">
        <v>14</v>
      </c>
      <c r="J296">
        <v>0</v>
      </c>
      <c r="K296" t="str">
        <f t="shared" si="4"/>
        <v>Not Affected</v>
      </c>
      <c r="L296" t="str" cm="1">
        <f t="array" ref="L296">_xlfn.IFS(B296&gt;60,"Older Adult(&gt;60)",B296&gt;35,"Middle-aged Adult(36-60)",B296&gt;18,"Young Adult(19-35)",B296&gt;12,"Adolescent(13-18)",B296&gt;0,"Child(&lt;13)")</f>
        <v>Young Adult(19-35)</v>
      </c>
    </row>
    <row r="297" spans="1:12">
      <c r="A297" t="s">
        <v>15</v>
      </c>
      <c r="B297">
        <v>47</v>
      </c>
      <c r="C297">
        <v>0</v>
      </c>
      <c r="D297">
        <v>0</v>
      </c>
      <c r="E297">
        <v>0</v>
      </c>
      <c r="F297" t="s">
        <v>30</v>
      </c>
      <c r="G297" t="s">
        <v>17</v>
      </c>
      <c r="H297" t="s">
        <v>24</v>
      </c>
      <c r="I297" t="s">
        <v>14</v>
      </c>
      <c r="J297">
        <v>0</v>
      </c>
      <c r="K297" t="str">
        <f t="shared" si="4"/>
        <v>Not Affected</v>
      </c>
      <c r="L297" t="str" cm="1">
        <f t="array" ref="L297">_xlfn.IFS(B297&gt;60,"Older Adult(&gt;60)",B297&gt;35,"Middle-aged Adult(36-60)",B297&gt;18,"Young Adult(19-35)",B297&gt;12,"Adolescent(13-18)",B297&gt;0,"Child(&lt;13)")</f>
        <v>Middle-aged Adult(36-60)</v>
      </c>
    </row>
    <row r="298" spans="1:12">
      <c r="A298" t="s">
        <v>15</v>
      </c>
      <c r="B298">
        <v>50</v>
      </c>
      <c r="C298">
        <v>0</v>
      </c>
      <c r="D298">
        <v>0</v>
      </c>
      <c r="E298">
        <v>1</v>
      </c>
      <c r="F298" t="s">
        <v>51</v>
      </c>
      <c r="G298" t="s">
        <v>12</v>
      </c>
      <c r="H298" t="s">
        <v>24</v>
      </c>
      <c r="I298" t="s">
        <v>14</v>
      </c>
      <c r="J298">
        <v>0</v>
      </c>
      <c r="K298" t="str">
        <f t="shared" si="4"/>
        <v>Not Affected</v>
      </c>
      <c r="L298" t="str" cm="1">
        <f t="array" ref="L298">_xlfn.IFS(B298&gt;60,"Older Adult(&gt;60)",B298&gt;35,"Middle-aged Adult(36-60)",B298&gt;18,"Young Adult(19-35)",B298&gt;12,"Adolescent(13-18)",B298&gt;0,"Child(&lt;13)")</f>
        <v>Middle-aged Adult(36-60)</v>
      </c>
    </row>
    <row r="299" spans="1:12">
      <c r="A299" t="s">
        <v>15</v>
      </c>
      <c r="B299">
        <v>15</v>
      </c>
      <c r="C299">
        <v>0</v>
      </c>
      <c r="D299">
        <v>0</v>
      </c>
      <c r="E299">
        <v>0</v>
      </c>
      <c r="F299" t="s">
        <v>44</v>
      </c>
      <c r="G299" t="s">
        <v>17</v>
      </c>
      <c r="H299" t="s">
        <v>13</v>
      </c>
      <c r="I299" t="s">
        <v>14</v>
      </c>
      <c r="J299">
        <v>0</v>
      </c>
      <c r="K299" t="str">
        <f t="shared" si="4"/>
        <v>Not Affected</v>
      </c>
      <c r="L299" t="str" cm="1">
        <f t="array" ref="L299">_xlfn.IFS(B299&gt;60,"Older Adult(&gt;60)",B299&gt;35,"Middle-aged Adult(36-60)",B299&gt;18,"Young Adult(19-35)",B299&gt;12,"Adolescent(13-18)",B299&gt;0,"Child(&lt;13)")</f>
        <v>Adolescent(13-18)</v>
      </c>
    </row>
    <row r="300" spans="1:12">
      <c r="A300" t="s">
        <v>15</v>
      </c>
      <c r="B300">
        <v>11</v>
      </c>
      <c r="C300">
        <v>1</v>
      </c>
      <c r="D300">
        <v>1</v>
      </c>
      <c r="E300">
        <v>0</v>
      </c>
      <c r="F300" t="s">
        <v>50</v>
      </c>
      <c r="G300" t="s">
        <v>12</v>
      </c>
      <c r="H300" t="s">
        <v>24</v>
      </c>
      <c r="I300" t="s">
        <v>14</v>
      </c>
      <c r="J300">
        <v>1</v>
      </c>
      <c r="K300" t="str">
        <f t="shared" si="4"/>
        <v>Affected</v>
      </c>
      <c r="L300" t="str" cm="1">
        <f t="array" ref="L300">_xlfn.IFS(B300&gt;60,"Older Adult(&gt;60)",B300&gt;35,"Middle-aged Adult(36-60)",B300&gt;18,"Young Adult(19-35)",B300&gt;12,"Adolescent(13-18)",B300&gt;0,"Child(&lt;13)")</f>
        <v>Child(&lt;13)</v>
      </c>
    </row>
    <row r="301" spans="1:12">
      <c r="A301" t="s">
        <v>10</v>
      </c>
      <c r="B301">
        <v>46</v>
      </c>
      <c r="C301">
        <v>1</v>
      </c>
      <c r="D301">
        <v>1</v>
      </c>
      <c r="E301">
        <v>0</v>
      </c>
      <c r="F301" t="s">
        <v>32</v>
      </c>
      <c r="G301" t="s">
        <v>17</v>
      </c>
      <c r="H301" t="s">
        <v>13</v>
      </c>
      <c r="I301" t="s">
        <v>14</v>
      </c>
      <c r="J301">
        <v>1</v>
      </c>
      <c r="K301" t="str">
        <f t="shared" si="4"/>
        <v>Affected</v>
      </c>
      <c r="L301" t="str" cm="1">
        <f t="array" ref="L301">_xlfn.IFS(B301&gt;60,"Older Adult(&gt;60)",B301&gt;35,"Middle-aged Adult(36-60)",B301&gt;18,"Young Adult(19-35)",B301&gt;12,"Adolescent(13-18)",B301&gt;0,"Child(&lt;13)")</f>
        <v>Middle-aged Adult(36-60)</v>
      </c>
    </row>
    <row r="302" spans="1:12">
      <c r="A302" t="s">
        <v>10</v>
      </c>
      <c r="B302">
        <v>52</v>
      </c>
      <c r="C302">
        <v>1</v>
      </c>
      <c r="D302">
        <v>1</v>
      </c>
      <c r="E302">
        <v>0</v>
      </c>
      <c r="F302" t="s">
        <v>39</v>
      </c>
      <c r="G302" t="s">
        <v>12</v>
      </c>
      <c r="H302" t="s">
        <v>24</v>
      </c>
      <c r="I302" t="s">
        <v>14</v>
      </c>
      <c r="J302">
        <v>1</v>
      </c>
      <c r="K302" t="str">
        <f t="shared" si="4"/>
        <v>Affected</v>
      </c>
      <c r="L302" t="str" cm="1">
        <f t="array" ref="L302">_xlfn.IFS(B302&gt;60,"Older Adult(&gt;60)",B302&gt;35,"Middle-aged Adult(36-60)",B302&gt;18,"Young Adult(19-35)",B302&gt;12,"Adolescent(13-18)",B302&gt;0,"Child(&lt;13)")</f>
        <v>Middle-aged Adult(36-60)</v>
      </c>
    </row>
    <row r="303" spans="1:12">
      <c r="A303" t="s">
        <v>15</v>
      </c>
      <c r="B303">
        <v>44</v>
      </c>
      <c r="C303">
        <v>0</v>
      </c>
      <c r="D303">
        <v>0</v>
      </c>
      <c r="E303">
        <v>1</v>
      </c>
      <c r="F303" t="s">
        <v>42</v>
      </c>
      <c r="G303" t="s">
        <v>17</v>
      </c>
      <c r="H303" t="s">
        <v>24</v>
      </c>
      <c r="I303" t="s">
        <v>14</v>
      </c>
      <c r="J303">
        <v>0</v>
      </c>
      <c r="K303" t="str">
        <f t="shared" si="4"/>
        <v>Not Affected</v>
      </c>
      <c r="L303" t="str" cm="1">
        <f t="array" ref="L303">_xlfn.IFS(B303&gt;60,"Older Adult(&gt;60)",B303&gt;35,"Middle-aged Adult(36-60)",B303&gt;18,"Young Adult(19-35)",B303&gt;12,"Adolescent(13-18)",B303&gt;0,"Child(&lt;13)")</f>
        <v>Middle-aged Adult(36-60)</v>
      </c>
    </row>
    <row r="304" spans="1:12">
      <c r="A304" t="s">
        <v>15</v>
      </c>
      <c r="B304">
        <v>12</v>
      </c>
      <c r="C304">
        <v>0</v>
      </c>
      <c r="D304">
        <v>0</v>
      </c>
      <c r="E304">
        <v>1</v>
      </c>
      <c r="F304" t="s">
        <v>39</v>
      </c>
      <c r="G304" t="s">
        <v>12</v>
      </c>
      <c r="H304" t="s">
        <v>19</v>
      </c>
      <c r="I304" t="s">
        <v>14</v>
      </c>
      <c r="J304">
        <v>0</v>
      </c>
      <c r="K304" t="str">
        <f t="shared" si="4"/>
        <v>Not Affected</v>
      </c>
      <c r="L304" t="str" cm="1">
        <f t="array" ref="L304">_xlfn.IFS(B304&gt;60,"Older Adult(&gt;60)",B304&gt;35,"Middle-aged Adult(36-60)",B304&gt;18,"Young Adult(19-35)",B304&gt;12,"Adolescent(13-18)",B304&gt;0,"Child(&lt;13)")</f>
        <v>Child(&lt;13)</v>
      </c>
    </row>
    <row r="305" spans="1:12">
      <c r="A305" t="s">
        <v>10</v>
      </c>
      <c r="B305">
        <v>30</v>
      </c>
      <c r="C305">
        <v>0</v>
      </c>
      <c r="D305">
        <v>0</v>
      </c>
      <c r="E305">
        <v>0</v>
      </c>
      <c r="F305" t="s">
        <v>22</v>
      </c>
      <c r="G305" t="s">
        <v>17</v>
      </c>
      <c r="H305" t="s">
        <v>13</v>
      </c>
      <c r="I305" t="s">
        <v>14</v>
      </c>
      <c r="J305">
        <v>0</v>
      </c>
      <c r="K305" t="str">
        <f t="shared" si="4"/>
        <v>Not Affected</v>
      </c>
      <c r="L305" t="str" cm="1">
        <f t="array" ref="L305">_xlfn.IFS(B305&gt;60,"Older Adult(&gt;60)",B305&gt;35,"Middle-aged Adult(36-60)",B305&gt;18,"Young Adult(19-35)",B305&gt;12,"Adolescent(13-18)",B305&gt;0,"Child(&lt;13)")</f>
        <v>Young Adult(19-35)</v>
      </c>
    </row>
    <row r="306" spans="1:12">
      <c r="A306" t="s">
        <v>15</v>
      </c>
      <c r="B306">
        <v>41</v>
      </c>
      <c r="C306">
        <v>0</v>
      </c>
      <c r="D306">
        <v>0</v>
      </c>
      <c r="E306">
        <v>0</v>
      </c>
      <c r="F306" t="s">
        <v>27</v>
      </c>
      <c r="G306" t="s">
        <v>12</v>
      </c>
      <c r="H306" t="s">
        <v>19</v>
      </c>
      <c r="I306" t="s">
        <v>14</v>
      </c>
      <c r="J306">
        <v>0</v>
      </c>
      <c r="K306" t="str">
        <f t="shared" si="4"/>
        <v>Not Affected</v>
      </c>
      <c r="L306" t="str" cm="1">
        <f t="array" ref="L306">_xlfn.IFS(B306&gt;60,"Older Adult(&gt;60)",B306&gt;35,"Middle-aged Adult(36-60)",B306&gt;18,"Young Adult(19-35)",B306&gt;12,"Adolescent(13-18)",B306&gt;0,"Child(&lt;13)")</f>
        <v>Middle-aged Adult(36-60)</v>
      </c>
    </row>
    <row r="307" spans="1:12">
      <c r="A307" t="s">
        <v>15</v>
      </c>
      <c r="B307">
        <v>62</v>
      </c>
      <c r="C307">
        <v>1</v>
      </c>
      <c r="D307">
        <v>1</v>
      </c>
      <c r="E307">
        <v>0</v>
      </c>
      <c r="F307" t="s">
        <v>22</v>
      </c>
      <c r="G307" t="s">
        <v>17</v>
      </c>
      <c r="H307" t="s">
        <v>24</v>
      </c>
      <c r="I307" t="s">
        <v>14</v>
      </c>
      <c r="J307">
        <v>1</v>
      </c>
      <c r="K307" t="str">
        <f t="shared" si="4"/>
        <v>Affected</v>
      </c>
      <c r="L307" t="str" cm="1">
        <f t="array" ref="L307">_xlfn.IFS(B307&gt;60,"Older Adult(&gt;60)",B307&gt;35,"Middle-aged Adult(36-60)",B307&gt;18,"Young Adult(19-35)",B307&gt;12,"Adolescent(13-18)",B307&gt;0,"Child(&lt;13)")</f>
        <v>Older Adult(&gt;60)</v>
      </c>
    </row>
    <row r="308" spans="1:12">
      <c r="A308" t="s">
        <v>15</v>
      </c>
      <c r="B308">
        <v>42</v>
      </c>
      <c r="C308">
        <v>1</v>
      </c>
      <c r="D308">
        <v>1</v>
      </c>
      <c r="E308">
        <v>0</v>
      </c>
      <c r="F308" t="s">
        <v>46</v>
      </c>
      <c r="G308" t="s">
        <v>12</v>
      </c>
      <c r="H308" t="s">
        <v>19</v>
      </c>
      <c r="I308" t="s">
        <v>14</v>
      </c>
      <c r="J308">
        <v>1</v>
      </c>
      <c r="K308" t="str">
        <f t="shared" si="4"/>
        <v>Affected</v>
      </c>
      <c r="L308" t="str" cm="1">
        <f t="array" ref="L308">_xlfn.IFS(B308&gt;60,"Older Adult(&gt;60)",B308&gt;35,"Middle-aged Adult(36-60)",B308&gt;18,"Young Adult(19-35)",B308&gt;12,"Adolescent(13-18)",B308&gt;0,"Child(&lt;13)")</f>
        <v>Middle-aged Adult(36-60)</v>
      </c>
    </row>
    <row r="309" spans="1:12">
      <c r="A309" t="s">
        <v>10</v>
      </c>
      <c r="B309">
        <v>38</v>
      </c>
      <c r="C309">
        <v>1</v>
      </c>
      <c r="D309">
        <v>1</v>
      </c>
      <c r="E309">
        <v>0</v>
      </c>
      <c r="F309" t="s">
        <v>22</v>
      </c>
      <c r="G309" t="s">
        <v>17</v>
      </c>
      <c r="H309" t="s">
        <v>13</v>
      </c>
      <c r="I309" t="s">
        <v>14</v>
      </c>
      <c r="J309">
        <v>1</v>
      </c>
      <c r="K309" t="str">
        <f t="shared" si="4"/>
        <v>Affected</v>
      </c>
      <c r="L309" t="str" cm="1">
        <f t="array" ref="L309">_xlfn.IFS(B309&gt;60,"Older Adult(&gt;60)",B309&gt;35,"Middle-aged Adult(36-60)",B309&gt;18,"Young Adult(19-35)",B309&gt;12,"Adolescent(13-18)",B309&gt;0,"Child(&lt;13)")</f>
        <v>Middle-aged Adult(36-60)</v>
      </c>
    </row>
    <row r="310" spans="1:12">
      <c r="A310" t="s">
        <v>15</v>
      </c>
      <c r="B310">
        <v>46</v>
      </c>
      <c r="C310">
        <v>0</v>
      </c>
      <c r="D310">
        <v>0</v>
      </c>
      <c r="E310">
        <v>0</v>
      </c>
      <c r="F310" t="s">
        <v>47</v>
      </c>
      <c r="G310" t="s">
        <v>12</v>
      </c>
      <c r="H310" t="s">
        <v>24</v>
      </c>
      <c r="I310" t="s">
        <v>14</v>
      </c>
      <c r="J310">
        <v>0</v>
      </c>
      <c r="K310" t="str">
        <f t="shared" si="4"/>
        <v>Not Affected</v>
      </c>
      <c r="L310" t="str" cm="1">
        <f t="array" ref="L310">_xlfn.IFS(B310&gt;60,"Older Adult(&gt;60)",B310&gt;35,"Middle-aged Adult(36-60)",B310&gt;18,"Young Adult(19-35)",B310&gt;12,"Adolescent(13-18)",B310&gt;0,"Child(&lt;13)")</f>
        <v>Middle-aged Adult(36-60)</v>
      </c>
    </row>
    <row r="311" spans="1:12">
      <c r="A311" t="s">
        <v>15</v>
      </c>
      <c r="B311">
        <v>44</v>
      </c>
      <c r="C311">
        <v>0</v>
      </c>
      <c r="D311">
        <v>0</v>
      </c>
      <c r="E311">
        <v>0</v>
      </c>
      <c r="F311" t="s">
        <v>44</v>
      </c>
      <c r="G311" t="s">
        <v>17</v>
      </c>
      <c r="H311" t="s">
        <v>19</v>
      </c>
      <c r="I311" t="s">
        <v>14</v>
      </c>
      <c r="J311">
        <v>0</v>
      </c>
      <c r="K311" t="str">
        <f t="shared" si="4"/>
        <v>Not Affected</v>
      </c>
      <c r="L311" t="str" cm="1">
        <f t="array" ref="L311">_xlfn.IFS(B311&gt;60,"Older Adult(&gt;60)",B311&gt;35,"Middle-aged Adult(36-60)",B311&gt;18,"Young Adult(19-35)",B311&gt;12,"Adolescent(13-18)",B311&gt;0,"Child(&lt;13)")</f>
        <v>Middle-aged Adult(36-60)</v>
      </c>
    </row>
    <row r="312" spans="1:12">
      <c r="A312" t="s">
        <v>10</v>
      </c>
      <c r="B312">
        <v>48</v>
      </c>
      <c r="C312">
        <v>1</v>
      </c>
      <c r="D312">
        <v>1</v>
      </c>
      <c r="E312">
        <v>0</v>
      </c>
      <c r="F312" t="s">
        <v>28</v>
      </c>
      <c r="G312" t="s">
        <v>12</v>
      </c>
      <c r="H312" t="s">
        <v>19</v>
      </c>
      <c r="I312" t="s">
        <v>14</v>
      </c>
      <c r="J312">
        <v>1</v>
      </c>
      <c r="K312" t="str">
        <f t="shared" si="4"/>
        <v>Affected</v>
      </c>
      <c r="L312" t="str" cm="1">
        <f t="array" ref="L312">_xlfn.IFS(B312&gt;60,"Older Adult(&gt;60)",B312&gt;35,"Middle-aged Adult(36-60)",B312&gt;18,"Young Adult(19-35)",B312&gt;12,"Adolescent(13-18)",B312&gt;0,"Child(&lt;13)")</f>
        <v>Middle-aged Adult(36-60)</v>
      </c>
    </row>
    <row r="313" spans="1:12">
      <c r="A313" t="s">
        <v>15</v>
      </c>
      <c r="B313">
        <v>42</v>
      </c>
      <c r="C313">
        <v>0</v>
      </c>
      <c r="D313">
        <v>0</v>
      </c>
      <c r="E313">
        <v>1</v>
      </c>
      <c r="F313" t="s">
        <v>33</v>
      </c>
      <c r="G313" t="s">
        <v>17</v>
      </c>
      <c r="H313" t="s">
        <v>13</v>
      </c>
      <c r="I313" t="s">
        <v>14</v>
      </c>
      <c r="J313">
        <v>0</v>
      </c>
      <c r="K313" t="str">
        <f t="shared" si="4"/>
        <v>Not Affected</v>
      </c>
      <c r="L313" t="str" cm="1">
        <f t="array" ref="L313">_xlfn.IFS(B313&gt;60,"Older Adult(&gt;60)",B313&gt;35,"Middle-aged Adult(36-60)",B313&gt;18,"Young Adult(19-35)",B313&gt;12,"Adolescent(13-18)",B313&gt;0,"Child(&lt;13)")</f>
        <v>Middle-aged Adult(36-60)</v>
      </c>
    </row>
    <row r="314" spans="1:12">
      <c r="A314" t="s">
        <v>15</v>
      </c>
      <c r="B314">
        <v>41</v>
      </c>
      <c r="C314">
        <v>1</v>
      </c>
      <c r="D314">
        <v>1</v>
      </c>
      <c r="E314">
        <v>0</v>
      </c>
      <c r="F314" t="s">
        <v>11</v>
      </c>
      <c r="G314" t="s">
        <v>12</v>
      </c>
      <c r="H314" t="s">
        <v>24</v>
      </c>
      <c r="I314" t="s">
        <v>14</v>
      </c>
      <c r="J314">
        <v>1</v>
      </c>
      <c r="K314" t="str">
        <f t="shared" si="4"/>
        <v>Affected</v>
      </c>
      <c r="L314" t="str" cm="1">
        <f t="array" ref="L314">_xlfn.IFS(B314&gt;60,"Older Adult(&gt;60)",B314&gt;35,"Middle-aged Adult(36-60)",B314&gt;18,"Young Adult(19-35)",B314&gt;12,"Adolescent(13-18)",B314&gt;0,"Child(&lt;13)")</f>
        <v>Middle-aged Adult(36-60)</v>
      </c>
    </row>
    <row r="315" spans="1:12">
      <c r="A315" t="s">
        <v>15</v>
      </c>
      <c r="B315">
        <v>15</v>
      </c>
      <c r="C315">
        <v>0</v>
      </c>
      <c r="D315">
        <v>0</v>
      </c>
      <c r="E315">
        <v>0</v>
      </c>
      <c r="F315" t="s">
        <v>45</v>
      </c>
      <c r="G315" t="s">
        <v>17</v>
      </c>
      <c r="H315" t="s">
        <v>24</v>
      </c>
      <c r="I315" t="s">
        <v>14</v>
      </c>
      <c r="J315">
        <v>0</v>
      </c>
      <c r="K315" t="str">
        <f t="shared" si="4"/>
        <v>Not Affected</v>
      </c>
      <c r="L315" t="str" cm="1">
        <f t="array" ref="L315">_xlfn.IFS(B315&gt;60,"Older Adult(&gt;60)",B315&gt;35,"Middle-aged Adult(36-60)",B315&gt;18,"Young Adult(19-35)",B315&gt;12,"Adolescent(13-18)",B315&gt;0,"Child(&lt;13)")</f>
        <v>Adolescent(13-18)</v>
      </c>
    </row>
    <row r="316" spans="1:12">
      <c r="A316" t="s">
        <v>15</v>
      </c>
      <c r="B316">
        <v>15</v>
      </c>
      <c r="C316">
        <v>1</v>
      </c>
      <c r="D316">
        <v>1</v>
      </c>
      <c r="E316">
        <v>1</v>
      </c>
      <c r="F316" t="s">
        <v>32</v>
      </c>
      <c r="G316" t="s">
        <v>12</v>
      </c>
      <c r="H316" t="s">
        <v>19</v>
      </c>
      <c r="I316" t="s">
        <v>14</v>
      </c>
      <c r="J316">
        <v>1</v>
      </c>
      <c r="K316" t="str">
        <f t="shared" si="4"/>
        <v>Affected</v>
      </c>
      <c r="L316" t="str" cm="1">
        <f t="array" ref="L316">_xlfn.IFS(B316&gt;60,"Older Adult(&gt;60)",B316&gt;35,"Middle-aged Adult(36-60)",B316&gt;18,"Young Adult(19-35)",B316&gt;12,"Adolescent(13-18)",B316&gt;0,"Child(&lt;13)")</f>
        <v>Adolescent(13-18)</v>
      </c>
    </row>
    <row r="317" spans="1:12">
      <c r="A317" t="s">
        <v>15</v>
      </c>
      <c r="B317">
        <v>64</v>
      </c>
      <c r="C317">
        <v>0</v>
      </c>
      <c r="D317">
        <v>0</v>
      </c>
      <c r="E317">
        <v>1</v>
      </c>
      <c r="F317" t="s">
        <v>32</v>
      </c>
      <c r="G317" t="s">
        <v>17</v>
      </c>
      <c r="H317" t="s">
        <v>13</v>
      </c>
      <c r="I317" t="s">
        <v>14</v>
      </c>
      <c r="J317">
        <v>0</v>
      </c>
      <c r="K317" t="str">
        <f t="shared" si="4"/>
        <v>Not Affected</v>
      </c>
      <c r="L317" t="str" cm="1">
        <f t="array" ref="L317">_xlfn.IFS(B317&gt;60,"Older Adult(&gt;60)",B317&gt;35,"Middle-aged Adult(36-60)",B317&gt;18,"Young Adult(19-35)",B317&gt;12,"Adolescent(13-18)",B317&gt;0,"Child(&lt;13)")</f>
        <v>Older Adult(&gt;60)</v>
      </c>
    </row>
    <row r="318" spans="1:12">
      <c r="A318" t="s">
        <v>15</v>
      </c>
      <c r="B318">
        <v>16</v>
      </c>
      <c r="C318">
        <v>1</v>
      </c>
      <c r="D318">
        <v>1</v>
      </c>
      <c r="E318">
        <v>0</v>
      </c>
      <c r="F318" t="s">
        <v>51</v>
      </c>
      <c r="G318" t="s">
        <v>12</v>
      </c>
      <c r="H318" t="s">
        <v>13</v>
      </c>
      <c r="I318" t="s">
        <v>14</v>
      </c>
      <c r="J318">
        <v>1</v>
      </c>
      <c r="K318" t="str">
        <f t="shared" si="4"/>
        <v>Affected</v>
      </c>
      <c r="L318" t="str" cm="1">
        <f t="array" ref="L318">_xlfn.IFS(B318&gt;60,"Older Adult(&gt;60)",B318&gt;35,"Middle-aged Adult(36-60)",B318&gt;18,"Young Adult(19-35)",B318&gt;12,"Adolescent(13-18)",B318&gt;0,"Child(&lt;13)")</f>
        <v>Adolescent(13-18)</v>
      </c>
    </row>
    <row r="319" spans="1:12">
      <c r="A319" t="s">
        <v>15</v>
      </c>
      <c r="B319">
        <v>19</v>
      </c>
      <c r="C319">
        <v>1</v>
      </c>
      <c r="D319">
        <v>1</v>
      </c>
      <c r="E319">
        <v>0</v>
      </c>
      <c r="F319" t="s">
        <v>35</v>
      </c>
      <c r="G319" t="s">
        <v>17</v>
      </c>
      <c r="H319" t="s">
        <v>13</v>
      </c>
      <c r="I319" t="s">
        <v>14</v>
      </c>
      <c r="J319">
        <v>1</v>
      </c>
      <c r="K319" t="str">
        <f t="shared" si="4"/>
        <v>Affected</v>
      </c>
      <c r="L319" t="str" cm="1">
        <f t="array" ref="L319">_xlfn.IFS(B319&gt;60,"Older Adult(&gt;60)",B319&gt;35,"Middle-aged Adult(36-60)",B319&gt;18,"Young Adult(19-35)",B319&gt;12,"Adolescent(13-18)",B319&gt;0,"Child(&lt;13)")</f>
        <v>Young Adult(19-35)</v>
      </c>
    </row>
    <row r="320" spans="1:12">
      <c r="A320" t="s">
        <v>15</v>
      </c>
      <c r="B320">
        <v>56</v>
      </c>
      <c r="C320">
        <v>0</v>
      </c>
      <c r="D320">
        <v>0</v>
      </c>
      <c r="E320">
        <v>0</v>
      </c>
      <c r="F320" t="s">
        <v>52</v>
      </c>
      <c r="G320" t="s">
        <v>12</v>
      </c>
      <c r="H320" t="s">
        <v>13</v>
      </c>
      <c r="I320" t="s">
        <v>14</v>
      </c>
      <c r="J320">
        <v>0</v>
      </c>
      <c r="K320" t="str">
        <f t="shared" si="4"/>
        <v>Not Affected</v>
      </c>
      <c r="L320" t="str" cm="1">
        <f t="array" ref="L320">_xlfn.IFS(B320&gt;60,"Older Adult(&gt;60)",B320&gt;35,"Middle-aged Adult(36-60)",B320&gt;18,"Young Adult(19-35)",B320&gt;12,"Adolescent(13-18)",B320&gt;0,"Child(&lt;13)")</f>
        <v>Middle-aged Adult(36-60)</v>
      </c>
    </row>
    <row r="321" spans="1:12">
      <c r="A321" t="s">
        <v>10</v>
      </c>
      <c r="B321">
        <v>65</v>
      </c>
      <c r="C321">
        <v>1</v>
      </c>
      <c r="D321">
        <v>1</v>
      </c>
      <c r="E321">
        <v>1</v>
      </c>
      <c r="F321" t="s">
        <v>44</v>
      </c>
      <c r="G321" t="s">
        <v>17</v>
      </c>
      <c r="H321" t="s">
        <v>24</v>
      </c>
      <c r="I321" t="s">
        <v>14</v>
      </c>
      <c r="J321">
        <v>1</v>
      </c>
      <c r="K321" t="str">
        <f t="shared" si="4"/>
        <v>Affected</v>
      </c>
      <c r="L321" t="str" cm="1">
        <f t="array" ref="L321">_xlfn.IFS(B321&gt;60,"Older Adult(&gt;60)",B321&gt;35,"Middle-aged Adult(36-60)",B321&gt;18,"Young Adult(19-35)",B321&gt;12,"Adolescent(13-18)",B321&gt;0,"Child(&lt;13)")</f>
        <v>Older Adult(&gt;60)</v>
      </c>
    </row>
    <row r="322" spans="1:12">
      <c r="A322" t="s">
        <v>15</v>
      </c>
      <c r="B322">
        <v>57</v>
      </c>
      <c r="C322">
        <v>1</v>
      </c>
      <c r="D322">
        <v>1</v>
      </c>
      <c r="E322">
        <v>1</v>
      </c>
      <c r="F322" t="s">
        <v>52</v>
      </c>
      <c r="G322" t="s">
        <v>12</v>
      </c>
      <c r="H322" t="s">
        <v>24</v>
      </c>
      <c r="I322" t="s">
        <v>14</v>
      </c>
      <c r="J322">
        <v>1</v>
      </c>
      <c r="K322" t="str">
        <f t="shared" si="4"/>
        <v>Affected</v>
      </c>
      <c r="L322" t="str" cm="1">
        <f t="array" ref="L322">_xlfn.IFS(B322&gt;60,"Older Adult(&gt;60)",B322&gt;35,"Middle-aged Adult(36-60)",B322&gt;18,"Young Adult(19-35)",B322&gt;12,"Adolescent(13-18)",B322&gt;0,"Child(&lt;13)")</f>
        <v>Middle-aged Adult(36-60)</v>
      </c>
    </row>
    <row r="323" spans="1:12">
      <c r="A323" t="s">
        <v>15</v>
      </c>
      <c r="B323">
        <v>24</v>
      </c>
      <c r="C323">
        <v>0</v>
      </c>
      <c r="D323">
        <v>0</v>
      </c>
      <c r="E323">
        <v>0</v>
      </c>
      <c r="F323" t="s">
        <v>21</v>
      </c>
      <c r="G323" t="s">
        <v>17</v>
      </c>
      <c r="H323" t="s">
        <v>24</v>
      </c>
      <c r="I323" t="s">
        <v>14</v>
      </c>
      <c r="J323">
        <v>0</v>
      </c>
      <c r="K323" t="str">
        <f t="shared" ref="K323:K386" si="5">IF(J323=0, "Not Affected", "Affected")</f>
        <v>Not Affected</v>
      </c>
      <c r="L323" t="str" cm="1">
        <f t="array" ref="L323">_xlfn.IFS(B323&gt;60,"Older Adult(&gt;60)",B323&gt;35,"Middle-aged Adult(36-60)",B323&gt;18,"Young Adult(19-35)",B323&gt;12,"Adolescent(13-18)",B323&gt;0,"Child(&lt;13)")</f>
        <v>Young Adult(19-35)</v>
      </c>
    </row>
    <row r="324" spans="1:12">
      <c r="A324" t="s">
        <v>15</v>
      </c>
      <c r="B324">
        <v>38</v>
      </c>
      <c r="C324">
        <v>0</v>
      </c>
      <c r="D324">
        <v>0</v>
      </c>
      <c r="E324">
        <v>1</v>
      </c>
      <c r="F324" t="s">
        <v>52</v>
      </c>
      <c r="G324" t="s">
        <v>12</v>
      </c>
      <c r="H324" t="s">
        <v>19</v>
      </c>
      <c r="I324" t="s">
        <v>14</v>
      </c>
      <c r="J324">
        <v>0</v>
      </c>
      <c r="K324" t="str">
        <f t="shared" si="5"/>
        <v>Not Affected</v>
      </c>
      <c r="L324" t="str" cm="1">
        <f t="array" ref="L324">_xlfn.IFS(B324&gt;60,"Older Adult(&gt;60)",B324&gt;35,"Middle-aged Adult(36-60)",B324&gt;18,"Young Adult(19-35)",B324&gt;12,"Adolescent(13-18)",B324&gt;0,"Child(&lt;13)")</f>
        <v>Middle-aged Adult(36-60)</v>
      </c>
    </row>
    <row r="325" spans="1:12">
      <c r="A325" t="s">
        <v>10</v>
      </c>
      <c r="B325">
        <v>39</v>
      </c>
      <c r="C325">
        <v>0</v>
      </c>
      <c r="D325">
        <v>0</v>
      </c>
      <c r="E325">
        <v>1</v>
      </c>
      <c r="F325" t="s">
        <v>30</v>
      </c>
      <c r="G325" t="s">
        <v>17</v>
      </c>
      <c r="H325" t="s">
        <v>24</v>
      </c>
      <c r="I325" t="s">
        <v>14</v>
      </c>
      <c r="J325">
        <v>0</v>
      </c>
      <c r="K325" t="str">
        <f t="shared" si="5"/>
        <v>Not Affected</v>
      </c>
      <c r="L325" t="str" cm="1">
        <f t="array" ref="L325">_xlfn.IFS(B325&gt;60,"Older Adult(&gt;60)",B325&gt;35,"Middle-aged Adult(36-60)",B325&gt;18,"Young Adult(19-35)",B325&gt;12,"Adolescent(13-18)",B325&gt;0,"Child(&lt;13)")</f>
        <v>Middle-aged Adult(36-60)</v>
      </c>
    </row>
    <row r="326" spans="1:12">
      <c r="A326" t="s">
        <v>10</v>
      </c>
      <c r="B326">
        <v>64</v>
      </c>
      <c r="C326">
        <v>0</v>
      </c>
      <c r="D326">
        <v>0</v>
      </c>
      <c r="E326">
        <v>0</v>
      </c>
      <c r="F326" t="s">
        <v>45</v>
      </c>
      <c r="G326" t="s">
        <v>12</v>
      </c>
      <c r="H326" t="s">
        <v>24</v>
      </c>
      <c r="I326" t="s">
        <v>14</v>
      </c>
      <c r="J326">
        <v>0</v>
      </c>
      <c r="K326" t="str">
        <f t="shared" si="5"/>
        <v>Not Affected</v>
      </c>
      <c r="L326" t="str" cm="1">
        <f t="array" ref="L326">_xlfn.IFS(B326&gt;60,"Older Adult(&gt;60)",B326&gt;35,"Middle-aged Adult(36-60)",B326&gt;18,"Young Adult(19-35)",B326&gt;12,"Adolescent(13-18)",B326&gt;0,"Child(&lt;13)")</f>
        <v>Older Adult(&gt;60)</v>
      </c>
    </row>
    <row r="327" spans="1:12">
      <c r="A327" t="s">
        <v>15</v>
      </c>
      <c r="B327">
        <v>39</v>
      </c>
      <c r="C327">
        <v>1</v>
      </c>
      <c r="D327">
        <v>1</v>
      </c>
      <c r="E327">
        <v>1</v>
      </c>
      <c r="F327" t="s">
        <v>20</v>
      </c>
      <c r="G327" t="s">
        <v>17</v>
      </c>
      <c r="H327" t="s">
        <v>13</v>
      </c>
      <c r="I327" t="s">
        <v>14</v>
      </c>
      <c r="J327">
        <v>1</v>
      </c>
      <c r="K327" t="str">
        <f t="shared" si="5"/>
        <v>Affected</v>
      </c>
      <c r="L327" t="str" cm="1">
        <f t="array" ref="L327">_xlfn.IFS(B327&gt;60,"Older Adult(&gt;60)",B327&gt;35,"Middle-aged Adult(36-60)",B327&gt;18,"Young Adult(19-35)",B327&gt;12,"Adolescent(13-18)",B327&gt;0,"Child(&lt;13)")</f>
        <v>Middle-aged Adult(36-60)</v>
      </c>
    </row>
    <row r="328" spans="1:12">
      <c r="A328" t="s">
        <v>15</v>
      </c>
      <c r="B328">
        <v>33</v>
      </c>
      <c r="C328">
        <v>1</v>
      </c>
      <c r="D328">
        <v>1</v>
      </c>
      <c r="E328">
        <v>0</v>
      </c>
      <c r="F328" t="s">
        <v>34</v>
      </c>
      <c r="G328" t="s">
        <v>12</v>
      </c>
      <c r="H328" t="s">
        <v>19</v>
      </c>
      <c r="I328" t="s">
        <v>14</v>
      </c>
      <c r="J328">
        <v>1</v>
      </c>
      <c r="K328" t="str">
        <f t="shared" si="5"/>
        <v>Affected</v>
      </c>
      <c r="L328" t="str" cm="1">
        <f t="array" ref="L328">_xlfn.IFS(B328&gt;60,"Older Adult(&gt;60)",B328&gt;35,"Middle-aged Adult(36-60)",B328&gt;18,"Young Adult(19-35)",B328&gt;12,"Adolescent(13-18)",B328&gt;0,"Child(&lt;13)")</f>
        <v>Young Adult(19-35)</v>
      </c>
    </row>
    <row r="329" spans="1:12">
      <c r="A329" t="s">
        <v>15</v>
      </c>
      <c r="B329">
        <v>49</v>
      </c>
      <c r="C329">
        <v>1</v>
      </c>
      <c r="D329">
        <v>1</v>
      </c>
      <c r="E329">
        <v>0</v>
      </c>
      <c r="F329" t="s">
        <v>20</v>
      </c>
      <c r="G329" t="s">
        <v>17</v>
      </c>
      <c r="H329" t="s">
        <v>13</v>
      </c>
      <c r="I329" t="s">
        <v>14</v>
      </c>
      <c r="J329">
        <v>1</v>
      </c>
      <c r="K329" t="str">
        <f t="shared" si="5"/>
        <v>Affected</v>
      </c>
      <c r="L329" t="str" cm="1">
        <f t="array" ref="L329">_xlfn.IFS(B329&gt;60,"Older Adult(&gt;60)",B329&gt;35,"Middle-aged Adult(36-60)",B329&gt;18,"Young Adult(19-35)",B329&gt;12,"Adolescent(13-18)",B329&gt;0,"Child(&lt;13)")</f>
        <v>Middle-aged Adult(36-60)</v>
      </c>
    </row>
    <row r="330" spans="1:12">
      <c r="A330" t="s">
        <v>10</v>
      </c>
      <c r="B330">
        <v>22</v>
      </c>
      <c r="C330">
        <v>1</v>
      </c>
      <c r="D330">
        <v>1</v>
      </c>
      <c r="E330">
        <v>1</v>
      </c>
      <c r="F330" t="s">
        <v>39</v>
      </c>
      <c r="G330" t="s">
        <v>12</v>
      </c>
      <c r="H330" t="s">
        <v>24</v>
      </c>
      <c r="I330" t="s">
        <v>14</v>
      </c>
      <c r="J330">
        <v>1</v>
      </c>
      <c r="K330" t="str">
        <f t="shared" si="5"/>
        <v>Affected</v>
      </c>
      <c r="L330" t="str" cm="1">
        <f t="array" ref="L330">_xlfn.IFS(B330&gt;60,"Older Adult(&gt;60)",B330&gt;35,"Middle-aged Adult(36-60)",B330&gt;18,"Young Adult(19-35)",B330&gt;12,"Adolescent(13-18)",B330&gt;0,"Child(&lt;13)")</f>
        <v>Young Adult(19-35)</v>
      </c>
    </row>
    <row r="331" spans="1:12">
      <c r="A331" t="s">
        <v>10</v>
      </c>
      <c r="B331">
        <v>29</v>
      </c>
      <c r="C331">
        <v>0</v>
      </c>
      <c r="D331">
        <v>0</v>
      </c>
      <c r="E331">
        <v>0</v>
      </c>
      <c r="F331" t="s">
        <v>35</v>
      </c>
      <c r="G331" t="s">
        <v>17</v>
      </c>
      <c r="H331" t="s">
        <v>13</v>
      </c>
      <c r="I331" t="s">
        <v>14</v>
      </c>
      <c r="J331">
        <v>0</v>
      </c>
      <c r="K331" t="str">
        <f t="shared" si="5"/>
        <v>Not Affected</v>
      </c>
      <c r="L331" t="str" cm="1">
        <f t="array" ref="L331">_xlfn.IFS(B331&gt;60,"Older Adult(&gt;60)",B331&gt;35,"Middle-aged Adult(36-60)",B331&gt;18,"Young Adult(19-35)",B331&gt;12,"Adolescent(13-18)",B331&gt;0,"Child(&lt;13)")</f>
        <v>Young Adult(19-35)</v>
      </c>
    </row>
    <row r="332" spans="1:12">
      <c r="A332" t="s">
        <v>10</v>
      </c>
      <c r="B332">
        <v>22</v>
      </c>
      <c r="C332">
        <v>1</v>
      </c>
      <c r="D332">
        <v>1</v>
      </c>
      <c r="E332">
        <v>0</v>
      </c>
      <c r="F332" t="s">
        <v>26</v>
      </c>
      <c r="G332" t="s">
        <v>12</v>
      </c>
      <c r="H332" t="s">
        <v>13</v>
      </c>
      <c r="I332" t="s">
        <v>14</v>
      </c>
      <c r="J332">
        <v>1</v>
      </c>
      <c r="K332" t="str">
        <f t="shared" si="5"/>
        <v>Affected</v>
      </c>
      <c r="L332" t="str" cm="1">
        <f t="array" ref="L332">_xlfn.IFS(B332&gt;60,"Older Adult(&gt;60)",B332&gt;35,"Middle-aged Adult(36-60)",B332&gt;18,"Young Adult(19-35)",B332&gt;12,"Adolescent(13-18)",B332&gt;0,"Child(&lt;13)")</f>
        <v>Young Adult(19-35)</v>
      </c>
    </row>
    <row r="333" spans="1:12">
      <c r="A333" t="s">
        <v>10</v>
      </c>
      <c r="B333">
        <v>13</v>
      </c>
      <c r="C333">
        <v>1</v>
      </c>
      <c r="D333">
        <v>1</v>
      </c>
      <c r="E333">
        <v>0</v>
      </c>
      <c r="F333" t="s">
        <v>47</v>
      </c>
      <c r="G333" t="s">
        <v>17</v>
      </c>
      <c r="H333" t="s">
        <v>19</v>
      </c>
      <c r="I333" t="s">
        <v>14</v>
      </c>
      <c r="J333">
        <v>1</v>
      </c>
      <c r="K333" t="str">
        <f t="shared" si="5"/>
        <v>Affected</v>
      </c>
      <c r="L333" t="str" cm="1">
        <f t="array" ref="L333">_xlfn.IFS(B333&gt;60,"Older Adult(&gt;60)",B333&gt;35,"Middle-aged Adult(36-60)",B333&gt;18,"Young Adult(19-35)",B333&gt;12,"Adolescent(13-18)",B333&gt;0,"Child(&lt;13)")</f>
        <v>Adolescent(13-18)</v>
      </c>
    </row>
    <row r="334" spans="1:12">
      <c r="A334" t="s">
        <v>10</v>
      </c>
      <c r="B334">
        <v>11</v>
      </c>
      <c r="C334">
        <v>1</v>
      </c>
      <c r="D334">
        <v>1</v>
      </c>
      <c r="E334">
        <v>0</v>
      </c>
      <c r="F334" t="s">
        <v>50</v>
      </c>
      <c r="G334" t="s">
        <v>12</v>
      </c>
      <c r="H334" t="s">
        <v>13</v>
      </c>
      <c r="I334" t="s">
        <v>14</v>
      </c>
      <c r="J334">
        <v>1</v>
      </c>
      <c r="K334" t="str">
        <f t="shared" si="5"/>
        <v>Affected</v>
      </c>
      <c r="L334" t="str" cm="1">
        <f t="array" ref="L334">_xlfn.IFS(B334&gt;60,"Older Adult(&gt;60)",B334&gt;35,"Middle-aged Adult(36-60)",B334&gt;18,"Young Adult(19-35)",B334&gt;12,"Adolescent(13-18)",B334&gt;0,"Child(&lt;13)")</f>
        <v>Child(&lt;13)</v>
      </c>
    </row>
    <row r="335" spans="1:12">
      <c r="A335" t="s">
        <v>15</v>
      </c>
      <c r="B335">
        <v>41</v>
      </c>
      <c r="C335">
        <v>1</v>
      </c>
      <c r="D335">
        <v>1</v>
      </c>
      <c r="E335">
        <v>1</v>
      </c>
      <c r="F335" t="s">
        <v>49</v>
      </c>
      <c r="G335" t="s">
        <v>17</v>
      </c>
      <c r="H335" t="s">
        <v>13</v>
      </c>
      <c r="I335" t="s">
        <v>14</v>
      </c>
      <c r="J335">
        <v>1</v>
      </c>
      <c r="K335" t="str">
        <f t="shared" si="5"/>
        <v>Affected</v>
      </c>
      <c r="L335" t="str" cm="1">
        <f t="array" ref="L335">_xlfn.IFS(B335&gt;60,"Older Adult(&gt;60)",B335&gt;35,"Middle-aged Adult(36-60)",B335&gt;18,"Young Adult(19-35)",B335&gt;12,"Adolescent(13-18)",B335&gt;0,"Child(&lt;13)")</f>
        <v>Middle-aged Adult(36-60)</v>
      </c>
    </row>
    <row r="336" spans="1:12">
      <c r="A336" t="s">
        <v>15</v>
      </c>
      <c r="B336">
        <v>61</v>
      </c>
      <c r="C336">
        <v>1</v>
      </c>
      <c r="D336">
        <v>1</v>
      </c>
      <c r="E336">
        <v>1</v>
      </c>
      <c r="F336" t="s">
        <v>41</v>
      </c>
      <c r="G336" t="s">
        <v>12</v>
      </c>
      <c r="H336" t="s">
        <v>19</v>
      </c>
      <c r="I336" t="s">
        <v>14</v>
      </c>
      <c r="J336">
        <v>1</v>
      </c>
      <c r="K336" t="str">
        <f t="shared" si="5"/>
        <v>Affected</v>
      </c>
      <c r="L336" t="str" cm="1">
        <f t="array" ref="L336">_xlfn.IFS(B336&gt;60,"Older Adult(&gt;60)",B336&gt;35,"Middle-aged Adult(36-60)",B336&gt;18,"Young Adult(19-35)",B336&gt;12,"Adolescent(13-18)",B336&gt;0,"Child(&lt;13)")</f>
        <v>Older Adult(&gt;60)</v>
      </c>
    </row>
    <row r="337" spans="1:12">
      <c r="A337" t="s">
        <v>15</v>
      </c>
      <c r="B337">
        <v>60</v>
      </c>
      <c r="C337">
        <v>0</v>
      </c>
      <c r="D337">
        <v>0</v>
      </c>
      <c r="E337">
        <v>1</v>
      </c>
      <c r="F337" t="s">
        <v>11</v>
      </c>
      <c r="G337" t="s">
        <v>17</v>
      </c>
      <c r="H337" t="s">
        <v>24</v>
      </c>
      <c r="I337" t="s">
        <v>14</v>
      </c>
      <c r="J337">
        <v>0</v>
      </c>
      <c r="K337" t="str">
        <f t="shared" si="5"/>
        <v>Not Affected</v>
      </c>
      <c r="L337" t="str" cm="1">
        <f t="array" ref="L337">_xlfn.IFS(B337&gt;60,"Older Adult(&gt;60)",B337&gt;35,"Middle-aged Adult(36-60)",B337&gt;18,"Young Adult(19-35)",B337&gt;12,"Adolescent(13-18)",B337&gt;0,"Child(&lt;13)")</f>
        <v>Middle-aged Adult(36-60)</v>
      </c>
    </row>
    <row r="338" spans="1:12">
      <c r="A338" t="s">
        <v>10</v>
      </c>
      <c r="B338">
        <v>21</v>
      </c>
      <c r="C338">
        <v>1</v>
      </c>
      <c r="D338">
        <v>1</v>
      </c>
      <c r="E338">
        <v>0</v>
      </c>
      <c r="F338" t="s">
        <v>11</v>
      </c>
      <c r="G338" t="s">
        <v>12</v>
      </c>
      <c r="H338" t="s">
        <v>13</v>
      </c>
      <c r="I338" t="s">
        <v>14</v>
      </c>
      <c r="J338">
        <v>1</v>
      </c>
      <c r="K338" t="str">
        <f t="shared" si="5"/>
        <v>Affected</v>
      </c>
      <c r="L338" t="str" cm="1">
        <f t="array" ref="L338">_xlfn.IFS(B338&gt;60,"Older Adult(&gt;60)",B338&gt;35,"Middle-aged Adult(36-60)",B338&gt;18,"Young Adult(19-35)",B338&gt;12,"Adolescent(13-18)",B338&gt;0,"Child(&lt;13)")</f>
        <v>Young Adult(19-35)</v>
      </c>
    </row>
    <row r="339" spans="1:12">
      <c r="A339" t="s">
        <v>10</v>
      </c>
      <c r="B339">
        <v>25</v>
      </c>
      <c r="C339">
        <v>1</v>
      </c>
      <c r="D339">
        <v>1</v>
      </c>
      <c r="E339">
        <v>1</v>
      </c>
      <c r="F339" t="s">
        <v>35</v>
      </c>
      <c r="G339" t="s">
        <v>17</v>
      </c>
      <c r="H339" t="s">
        <v>24</v>
      </c>
      <c r="I339" t="s">
        <v>14</v>
      </c>
      <c r="J339">
        <v>1</v>
      </c>
      <c r="K339" t="str">
        <f t="shared" si="5"/>
        <v>Affected</v>
      </c>
      <c r="L339" t="str" cm="1">
        <f t="array" ref="L339">_xlfn.IFS(B339&gt;60,"Older Adult(&gt;60)",B339&gt;35,"Middle-aged Adult(36-60)",B339&gt;18,"Young Adult(19-35)",B339&gt;12,"Adolescent(13-18)",B339&gt;0,"Child(&lt;13)")</f>
        <v>Young Adult(19-35)</v>
      </c>
    </row>
    <row r="340" spans="1:12">
      <c r="A340" t="s">
        <v>10</v>
      </c>
      <c r="B340">
        <v>57</v>
      </c>
      <c r="C340">
        <v>1</v>
      </c>
      <c r="D340">
        <v>1</v>
      </c>
      <c r="E340">
        <v>0</v>
      </c>
      <c r="F340" t="s">
        <v>43</v>
      </c>
      <c r="G340" t="s">
        <v>12</v>
      </c>
      <c r="H340" t="s">
        <v>24</v>
      </c>
      <c r="I340" t="s">
        <v>14</v>
      </c>
      <c r="J340">
        <v>1</v>
      </c>
      <c r="K340" t="str">
        <f t="shared" si="5"/>
        <v>Affected</v>
      </c>
      <c r="L340" t="str" cm="1">
        <f t="array" ref="L340">_xlfn.IFS(B340&gt;60,"Older Adult(&gt;60)",B340&gt;35,"Middle-aged Adult(36-60)",B340&gt;18,"Young Adult(19-35)",B340&gt;12,"Adolescent(13-18)",B340&gt;0,"Child(&lt;13)")</f>
        <v>Middle-aged Adult(36-60)</v>
      </c>
    </row>
    <row r="341" spans="1:12">
      <c r="A341" t="s">
        <v>15</v>
      </c>
      <c r="B341">
        <v>22</v>
      </c>
      <c r="C341">
        <v>1</v>
      </c>
      <c r="D341">
        <v>1</v>
      </c>
      <c r="E341">
        <v>1</v>
      </c>
      <c r="F341" t="s">
        <v>22</v>
      </c>
      <c r="G341" t="s">
        <v>17</v>
      </c>
      <c r="H341" t="s">
        <v>13</v>
      </c>
      <c r="I341" t="s">
        <v>14</v>
      </c>
      <c r="J341">
        <v>1</v>
      </c>
      <c r="K341" t="str">
        <f t="shared" si="5"/>
        <v>Affected</v>
      </c>
      <c r="L341" t="str" cm="1">
        <f t="array" ref="L341">_xlfn.IFS(B341&gt;60,"Older Adult(&gt;60)",B341&gt;35,"Middle-aged Adult(36-60)",B341&gt;18,"Young Adult(19-35)",B341&gt;12,"Adolescent(13-18)",B341&gt;0,"Child(&lt;13)")</f>
        <v>Young Adult(19-35)</v>
      </c>
    </row>
    <row r="342" spans="1:12">
      <c r="A342" t="s">
        <v>15</v>
      </c>
      <c r="B342">
        <v>9</v>
      </c>
      <c r="C342">
        <v>1</v>
      </c>
      <c r="D342">
        <v>1</v>
      </c>
      <c r="E342">
        <v>0</v>
      </c>
      <c r="F342" t="s">
        <v>28</v>
      </c>
      <c r="G342" t="s">
        <v>12</v>
      </c>
      <c r="H342" t="s">
        <v>19</v>
      </c>
      <c r="I342" t="s">
        <v>14</v>
      </c>
      <c r="J342">
        <v>1</v>
      </c>
      <c r="K342" t="str">
        <f t="shared" si="5"/>
        <v>Affected</v>
      </c>
      <c r="L342" t="str" cm="1">
        <f t="array" ref="L342">_xlfn.IFS(B342&gt;60,"Older Adult(&gt;60)",B342&gt;35,"Middle-aged Adult(36-60)",B342&gt;18,"Young Adult(19-35)",B342&gt;12,"Adolescent(13-18)",B342&gt;0,"Child(&lt;13)")</f>
        <v>Child(&lt;13)</v>
      </c>
    </row>
    <row r="343" spans="1:12">
      <c r="A343" t="s">
        <v>15</v>
      </c>
      <c r="B343">
        <v>56</v>
      </c>
      <c r="C343">
        <v>0</v>
      </c>
      <c r="D343">
        <v>0</v>
      </c>
      <c r="E343">
        <v>1</v>
      </c>
      <c r="F343" t="s">
        <v>50</v>
      </c>
      <c r="G343" t="s">
        <v>17</v>
      </c>
      <c r="H343" t="s">
        <v>19</v>
      </c>
      <c r="I343" t="s">
        <v>14</v>
      </c>
      <c r="J343">
        <v>0</v>
      </c>
      <c r="K343" t="str">
        <f t="shared" si="5"/>
        <v>Not Affected</v>
      </c>
      <c r="L343" t="str" cm="1">
        <f t="array" ref="L343">_xlfn.IFS(B343&gt;60,"Older Adult(&gt;60)",B343&gt;35,"Middle-aged Adult(36-60)",B343&gt;18,"Young Adult(19-35)",B343&gt;12,"Adolescent(13-18)",B343&gt;0,"Child(&lt;13)")</f>
        <v>Middle-aged Adult(36-60)</v>
      </c>
    </row>
    <row r="344" spans="1:12">
      <c r="A344" t="s">
        <v>10</v>
      </c>
      <c r="B344">
        <v>44</v>
      </c>
      <c r="C344">
        <v>1</v>
      </c>
      <c r="D344">
        <v>1</v>
      </c>
      <c r="E344">
        <v>0</v>
      </c>
      <c r="F344" t="s">
        <v>47</v>
      </c>
      <c r="G344" t="s">
        <v>12</v>
      </c>
      <c r="H344" t="s">
        <v>13</v>
      </c>
      <c r="I344" t="s">
        <v>14</v>
      </c>
      <c r="J344">
        <v>1</v>
      </c>
      <c r="K344" t="str">
        <f t="shared" si="5"/>
        <v>Affected</v>
      </c>
      <c r="L344" t="str" cm="1">
        <f t="array" ref="L344">_xlfn.IFS(B344&gt;60,"Older Adult(&gt;60)",B344&gt;35,"Middle-aged Adult(36-60)",B344&gt;18,"Young Adult(19-35)",B344&gt;12,"Adolescent(13-18)",B344&gt;0,"Child(&lt;13)")</f>
        <v>Middle-aged Adult(36-60)</v>
      </c>
    </row>
    <row r="345" spans="1:12">
      <c r="A345" t="s">
        <v>10</v>
      </c>
      <c r="B345">
        <v>59</v>
      </c>
      <c r="C345">
        <v>1</v>
      </c>
      <c r="D345">
        <v>1</v>
      </c>
      <c r="E345">
        <v>0</v>
      </c>
      <c r="F345" t="s">
        <v>32</v>
      </c>
      <c r="G345" t="s">
        <v>17</v>
      </c>
      <c r="H345" t="s">
        <v>13</v>
      </c>
      <c r="I345" t="s">
        <v>14</v>
      </c>
      <c r="J345">
        <v>1</v>
      </c>
      <c r="K345" t="str">
        <f t="shared" si="5"/>
        <v>Affected</v>
      </c>
      <c r="L345" t="str" cm="1">
        <f t="array" ref="L345">_xlfn.IFS(B345&gt;60,"Older Adult(&gt;60)",B345&gt;35,"Middle-aged Adult(36-60)",B345&gt;18,"Young Adult(19-35)",B345&gt;12,"Adolescent(13-18)",B345&gt;0,"Child(&lt;13)")</f>
        <v>Middle-aged Adult(36-60)</v>
      </c>
    </row>
    <row r="346" spans="1:12">
      <c r="A346" t="s">
        <v>10</v>
      </c>
      <c r="B346">
        <v>40</v>
      </c>
      <c r="C346">
        <v>0</v>
      </c>
      <c r="D346">
        <v>0</v>
      </c>
      <c r="E346">
        <v>0</v>
      </c>
      <c r="F346" t="s">
        <v>51</v>
      </c>
      <c r="G346" t="s">
        <v>12</v>
      </c>
      <c r="H346" t="s">
        <v>13</v>
      </c>
      <c r="I346" t="s">
        <v>14</v>
      </c>
      <c r="J346">
        <v>0</v>
      </c>
      <c r="K346" t="str">
        <f t="shared" si="5"/>
        <v>Not Affected</v>
      </c>
      <c r="L346" t="str" cm="1">
        <f t="array" ref="L346">_xlfn.IFS(B346&gt;60,"Older Adult(&gt;60)",B346&gt;35,"Middle-aged Adult(36-60)",B346&gt;18,"Young Adult(19-35)",B346&gt;12,"Adolescent(13-18)",B346&gt;0,"Child(&lt;13)")</f>
        <v>Middle-aged Adult(36-60)</v>
      </c>
    </row>
    <row r="347" spans="1:12">
      <c r="A347" t="s">
        <v>10</v>
      </c>
      <c r="B347">
        <v>64</v>
      </c>
      <c r="C347">
        <v>1</v>
      </c>
      <c r="D347">
        <v>1</v>
      </c>
      <c r="E347">
        <v>0</v>
      </c>
      <c r="F347" t="s">
        <v>33</v>
      </c>
      <c r="G347" t="s">
        <v>17</v>
      </c>
      <c r="H347" t="s">
        <v>24</v>
      </c>
      <c r="I347" t="s">
        <v>14</v>
      </c>
      <c r="J347">
        <v>1</v>
      </c>
      <c r="K347" t="str">
        <f t="shared" si="5"/>
        <v>Affected</v>
      </c>
      <c r="L347" t="str" cm="1">
        <f t="array" ref="L347">_xlfn.IFS(B347&gt;60,"Older Adult(&gt;60)",B347&gt;35,"Middle-aged Adult(36-60)",B347&gt;18,"Young Adult(19-35)",B347&gt;12,"Adolescent(13-18)",B347&gt;0,"Child(&lt;13)")</f>
        <v>Older Adult(&gt;60)</v>
      </c>
    </row>
    <row r="348" spans="1:12">
      <c r="A348" t="s">
        <v>15</v>
      </c>
      <c r="B348">
        <v>62</v>
      </c>
      <c r="C348">
        <v>1</v>
      </c>
      <c r="D348">
        <v>1</v>
      </c>
      <c r="E348">
        <v>0</v>
      </c>
      <c r="F348" t="s">
        <v>43</v>
      </c>
      <c r="G348" t="s">
        <v>12</v>
      </c>
      <c r="H348" t="s">
        <v>19</v>
      </c>
      <c r="I348" t="s">
        <v>14</v>
      </c>
      <c r="J348">
        <v>1</v>
      </c>
      <c r="K348" t="str">
        <f t="shared" si="5"/>
        <v>Affected</v>
      </c>
      <c r="L348" t="str" cm="1">
        <f t="array" ref="L348">_xlfn.IFS(B348&gt;60,"Older Adult(&gt;60)",B348&gt;35,"Middle-aged Adult(36-60)",B348&gt;18,"Young Adult(19-35)",B348&gt;12,"Adolescent(13-18)",B348&gt;0,"Child(&lt;13)")</f>
        <v>Older Adult(&gt;60)</v>
      </c>
    </row>
    <row r="349" spans="1:12">
      <c r="A349" t="s">
        <v>10</v>
      </c>
      <c r="B349">
        <v>40</v>
      </c>
      <c r="C349">
        <v>1</v>
      </c>
      <c r="D349">
        <v>1</v>
      </c>
      <c r="E349">
        <v>1</v>
      </c>
      <c r="F349" t="s">
        <v>21</v>
      </c>
      <c r="G349" t="s">
        <v>17</v>
      </c>
      <c r="H349" t="s">
        <v>13</v>
      </c>
      <c r="I349" t="s">
        <v>14</v>
      </c>
      <c r="J349">
        <v>1</v>
      </c>
      <c r="K349" t="str">
        <f t="shared" si="5"/>
        <v>Affected</v>
      </c>
      <c r="L349" t="str" cm="1">
        <f t="array" ref="L349">_xlfn.IFS(B349&gt;60,"Older Adult(&gt;60)",B349&gt;35,"Middle-aged Adult(36-60)",B349&gt;18,"Young Adult(19-35)",B349&gt;12,"Adolescent(13-18)",B349&gt;0,"Child(&lt;13)")</f>
        <v>Middle-aged Adult(36-60)</v>
      </c>
    </row>
    <row r="350" spans="1:12">
      <c r="A350" t="s">
        <v>10</v>
      </c>
      <c r="B350">
        <v>26</v>
      </c>
      <c r="C350">
        <v>1</v>
      </c>
      <c r="D350">
        <v>1</v>
      </c>
      <c r="E350">
        <v>1</v>
      </c>
      <c r="F350" t="s">
        <v>42</v>
      </c>
      <c r="G350" t="s">
        <v>12</v>
      </c>
      <c r="H350" t="s">
        <v>24</v>
      </c>
      <c r="I350" t="s">
        <v>14</v>
      </c>
      <c r="J350">
        <v>1</v>
      </c>
      <c r="K350" t="str">
        <f t="shared" si="5"/>
        <v>Affected</v>
      </c>
      <c r="L350" t="str" cm="1">
        <f t="array" ref="L350">_xlfn.IFS(B350&gt;60,"Older Adult(&gt;60)",B350&gt;35,"Middle-aged Adult(36-60)",B350&gt;18,"Young Adult(19-35)",B350&gt;12,"Adolescent(13-18)",B350&gt;0,"Child(&lt;13)")</f>
        <v>Young Adult(19-35)</v>
      </c>
    </row>
    <row r="351" spans="1:12">
      <c r="A351" t="s">
        <v>15</v>
      </c>
      <c r="B351">
        <v>47</v>
      </c>
      <c r="C351">
        <v>1</v>
      </c>
      <c r="D351">
        <v>1</v>
      </c>
      <c r="E351">
        <v>1</v>
      </c>
      <c r="F351" t="s">
        <v>37</v>
      </c>
      <c r="G351" t="s">
        <v>17</v>
      </c>
      <c r="H351" t="s">
        <v>13</v>
      </c>
      <c r="I351" t="s">
        <v>14</v>
      </c>
      <c r="J351">
        <v>1</v>
      </c>
      <c r="K351" t="str">
        <f t="shared" si="5"/>
        <v>Affected</v>
      </c>
      <c r="L351" t="str" cm="1">
        <f t="array" ref="L351">_xlfn.IFS(B351&gt;60,"Older Adult(&gt;60)",B351&gt;35,"Middle-aged Adult(36-60)",B351&gt;18,"Young Adult(19-35)",B351&gt;12,"Adolescent(13-18)",B351&gt;0,"Child(&lt;13)")</f>
        <v>Middle-aged Adult(36-60)</v>
      </c>
    </row>
    <row r="352" spans="1:12">
      <c r="A352" t="s">
        <v>15</v>
      </c>
      <c r="B352">
        <v>56</v>
      </c>
      <c r="C352">
        <v>0</v>
      </c>
      <c r="D352">
        <v>0</v>
      </c>
      <c r="E352">
        <v>0</v>
      </c>
      <c r="F352" t="s">
        <v>39</v>
      </c>
      <c r="G352" t="s">
        <v>12</v>
      </c>
      <c r="H352" t="s">
        <v>19</v>
      </c>
      <c r="I352" t="s">
        <v>14</v>
      </c>
      <c r="J352">
        <v>0</v>
      </c>
      <c r="K352" t="str">
        <f t="shared" si="5"/>
        <v>Not Affected</v>
      </c>
      <c r="L352" t="str" cm="1">
        <f t="array" ref="L352">_xlfn.IFS(B352&gt;60,"Older Adult(&gt;60)",B352&gt;35,"Middle-aged Adult(36-60)",B352&gt;18,"Young Adult(19-35)",B352&gt;12,"Adolescent(13-18)",B352&gt;0,"Child(&lt;13)")</f>
        <v>Middle-aged Adult(36-60)</v>
      </c>
    </row>
    <row r="353" spans="1:12">
      <c r="A353" t="s">
        <v>10</v>
      </c>
      <c r="B353">
        <v>19</v>
      </c>
      <c r="C353">
        <v>1</v>
      </c>
      <c r="D353">
        <v>1</v>
      </c>
      <c r="E353">
        <v>1</v>
      </c>
      <c r="F353" t="s">
        <v>49</v>
      </c>
      <c r="G353" t="s">
        <v>17</v>
      </c>
      <c r="H353" t="s">
        <v>19</v>
      </c>
      <c r="I353" t="s">
        <v>14</v>
      </c>
      <c r="J353">
        <v>1</v>
      </c>
      <c r="K353" t="str">
        <f t="shared" si="5"/>
        <v>Affected</v>
      </c>
      <c r="L353" t="str" cm="1">
        <f t="array" ref="L353">_xlfn.IFS(B353&gt;60,"Older Adult(&gt;60)",B353&gt;35,"Middle-aged Adult(36-60)",B353&gt;18,"Young Adult(19-35)",B353&gt;12,"Adolescent(13-18)",B353&gt;0,"Child(&lt;13)")</f>
        <v>Young Adult(19-35)</v>
      </c>
    </row>
    <row r="354" spans="1:12">
      <c r="A354" t="s">
        <v>15</v>
      </c>
      <c r="B354">
        <v>17</v>
      </c>
      <c r="C354">
        <v>0</v>
      </c>
      <c r="D354">
        <v>0</v>
      </c>
      <c r="E354">
        <v>1</v>
      </c>
      <c r="F354" t="s">
        <v>20</v>
      </c>
      <c r="G354" t="s">
        <v>12</v>
      </c>
      <c r="H354" t="s">
        <v>13</v>
      </c>
      <c r="I354" t="s">
        <v>14</v>
      </c>
      <c r="J354">
        <v>0</v>
      </c>
      <c r="K354" t="str">
        <f t="shared" si="5"/>
        <v>Not Affected</v>
      </c>
      <c r="L354" t="str" cm="1">
        <f t="array" ref="L354">_xlfn.IFS(B354&gt;60,"Older Adult(&gt;60)",B354&gt;35,"Middle-aged Adult(36-60)",B354&gt;18,"Young Adult(19-35)",B354&gt;12,"Adolescent(13-18)",B354&gt;0,"Child(&lt;13)")</f>
        <v>Adolescent(13-18)</v>
      </c>
    </row>
    <row r="355" spans="1:12">
      <c r="A355" t="s">
        <v>10</v>
      </c>
      <c r="B355">
        <v>57</v>
      </c>
      <c r="C355">
        <v>1</v>
      </c>
      <c r="D355">
        <v>1</v>
      </c>
      <c r="E355">
        <v>0</v>
      </c>
      <c r="F355" t="s">
        <v>36</v>
      </c>
      <c r="G355" t="s">
        <v>17</v>
      </c>
      <c r="H355" t="s">
        <v>13</v>
      </c>
      <c r="I355" t="s">
        <v>14</v>
      </c>
      <c r="J355">
        <v>1</v>
      </c>
      <c r="K355" t="str">
        <f t="shared" si="5"/>
        <v>Affected</v>
      </c>
      <c r="L355" t="str" cm="1">
        <f t="array" ref="L355">_xlfn.IFS(B355&gt;60,"Older Adult(&gt;60)",B355&gt;35,"Middle-aged Adult(36-60)",B355&gt;18,"Young Adult(19-35)",B355&gt;12,"Adolescent(13-18)",B355&gt;0,"Child(&lt;13)")</f>
        <v>Middle-aged Adult(36-60)</v>
      </c>
    </row>
    <row r="356" spans="1:12">
      <c r="A356" t="s">
        <v>15</v>
      </c>
      <c r="B356">
        <v>47</v>
      </c>
      <c r="C356">
        <v>1</v>
      </c>
      <c r="D356">
        <v>1</v>
      </c>
      <c r="E356">
        <v>1</v>
      </c>
      <c r="F356" t="s">
        <v>26</v>
      </c>
      <c r="G356" t="s">
        <v>12</v>
      </c>
      <c r="H356" t="s">
        <v>24</v>
      </c>
      <c r="I356" t="s">
        <v>14</v>
      </c>
      <c r="J356">
        <v>1</v>
      </c>
      <c r="K356" t="str">
        <f t="shared" si="5"/>
        <v>Affected</v>
      </c>
      <c r="L356" t="str" cm="1">
        <f t="array" ref="L356">_xlfn.IFS(B356&gt;60,"Older Adult(&gt;60)",B356&gt;35,"Middle-aged Adult(36-60)",B356&gt;18,"Young Adult(19-35)",B356&gt;12,"Adolescent(13-18)",B356&gt;0,"Child(&lt;13)")</f>
        <v>Middle-aged Adult(36-60)</v>
      </c>
    </row>
    <row r="357" spans="1:12">
      <c r="A357" t="s">
        <v>15</v>
      </c>
      <c r="B357">
        <v>44</v>
      </c>
      <c r="C357">
        <v>1</v>
      </c>
      <c r="D357">
        <v>1</v>
      </c>
      <c r="E357">
        <v>0</v>
      </c>
      <c r="F357" t="s">
        <v>33</v>
      </c>
      <c r="G357" t="s">
        <v>17</v>
      </c>
      <c r="H357" t="s">
        <v>13</v>
      </c>
      <c r="I357" t="s">
        <v>14</v>
      </c>
      <c r="J357">
        <v>1</v>
      </c>
      <c r="K357" t="str">
        <f t="shared" si="5"/>
        <v>Affected</v>
      </c>
      <c r="L357" t="str" cm="1">
        <f t="array" ref="L357">_xlfn.IFS(B357&gt;60,"Older Adult(&gt;60)",B357&gt;35,"Middle-aged Adult(36-60)",B357&gt;18,"Young Adult(19-35)",B357&gt;12,"Adolescent(13-18)",B357&gt;0,"Child(&lt;13)")</f>
        <v>Middle-aged Adult(36-60)</v>
      </c>
    </row>
    <row r="358" spans="1:12">
      <c r="A358" t="s">
        <v>10</v>
      </c>
      <c r="B358">
        <v>18</v>
      </c>
      <c r="C358">
        <v>0</v>
      </c>
      <c r="D358">
        <v>0</v>
      </c>
      <c r="E358">
        <v>0</v>
      </c>
      <c r="F358" t="s">
        <v>18</v>
      </c>
      <c r="G358" t="s">
        <v>12</v>
      </c>
      <c r="H358" t="s">
        <v>13</v>
      </c>
      <c r="I358" t="s">
        <v>14</v>
      </c>
      <c r="J358">
        <v>0</v>
      </c>
      <c r="K358" t="str">
        <f t="shared" si="5"/>
        <v>Not Affected</v>
      </c>
      <c r="L358" t="str" cm="1">
        <f t="array" ref="L358">_xlfn.IFS(B358&gt;60,"Older Adult(&gt;60)",B358&gt;35,"Middle-aged Adult(36-60)",B358&gt;18,"Young Adult(19-35)",B358&gt;12,"Adolescent(13-18)",B358&gt;0,"Child(&lt;13)")</f>
        <v>Adolescent(13-18)</v>
      </c>
    </row>
    <row r="359" spans="1:12">
      <c r="A359" t="s">
        <v>15</v>
      </c>
      <c r="B359">
        <v>44</v>
      </c>
      <c r="C359">
        <v>1</v>
      </c>
      <c r="D359">
        <v>1</v>
      </c>
      <c r="E359">
        <v>0</v>
      </c>
      <c r="F359" t="s">
        <v>44</v>
      </c>
      <c r="G359" t="s">
        <v>17</v>
      </c>
      <c r="H359" t="s">
        <v>24</v>
      </c>
      <c r="I359" t="s">
        <v>14</v>
      </c>
      <c r="J359">
        <v>1</v>
      </c>
      <c r="K359" t="str">
        <f t="shared" si="5"/>
        <v>Affected</v>
      </c>
      <c r="L359" t="str" cm="1">
        <f t="array" ref="L359">_xlfn.IFS(B359&gt;60,"Older Adult(&gt;60)",B359&gt;35,"Middle-aged Adult(36-60)",B359&gt;18,"Young Adult(19-35)",B359&gt;12,"Adolescent(13-18)",B359&gt;0,"Child(&lt;13)")</f>
        <v>Middle-aged Adult(36-60)</v>
      </c>
    </row>
    <row r="360" spans="1:12">
      <c r="A360" t="s">
        <v>10</v>
      </c>
      <c r="B360">
        <v>20</v>
      </c>
      <c r="C360">
        <v>1</v>
      </c>
      <c r="D360">
        <v>1</v>
      </c>
      <c r="E360">
        <v>1</v>
      </c>
      <c r="F360" t="s">
        <v>52</v>
      </c>
      <c r="G360" t="s">
        <v>12</v>
      </c>
      <c r="H360" t="s">
        <v>13</v>
      </c>
      <c r="I360" t="s">
        <v>14</v>
      </c>
      <c r="J360">
        <v>1</v>
      </c>
      <c r="K360" t="str">
        <f t="shared" si="5"/>
        <v>Affected</v>
      </c>
      <c r="L360" t="str" cm="1">
        <f t="array" ref="L360">_xlfn.IFS(B360&gt;60,"Older Adult(&gt;60)",B360&gt;35,"Middle-aged Adult(36-60)",B360&gt;18,"Young Adult(19-35)",B360&gt;12,"Adolescent(13-18)",B360&gt;0,"Child(&lt;13)")</f>
        <v>Young Adult(19-35)</v>
      </c>
    </row>
    <row r="361" spans="1:12">
      <c r="A361" t="s">
        <v>10</v>
      </c>
      <c r="B361">
        <v>60</v>
      </c>
      <c r="C361">
        <v>0</v>
      </c>
      <c r="D361">
        <v>0</v>
      </c>
      <c r="E361">
        <v>1</v>
      </c>
      <c r="F361" t="s">
        <v>40</v>
      </c>
      <c r="G361" t="s">
        <v>17</v>
      </c>
      <c r="H361" t="s">
        <v>19</v>
      </c>
      <c r="I361" t="s">
        <v>14</v>
      </c>
      <c r="J361">
        <v>0</v>
      </c>
      <c r="K361" t="str">
        <f t="shared" si="5"/>
        <v>Not Affected</v>
      </c>
      <c r="L361" t="str" cm="1">
        <f t="array" ref="L361">_xlfn.IFS(B361&gt;60,"Older Adult(&gt;60)",B361&gt;35,"Middle-aged Adult(36-60)",B361&gt;18,"Young Adult(19-35)",B361&gt;12,"Adolescent(13-18)",B361&gt;0,"Child(&lt;13)")</f>
        <v>Middle-aged Adult(36-60)</v>
      </c>
    </row>
    <row r="362" spans="1:12">
      <c r="A362" t="s">
        <v>15</v>
      </c>
      <c r="B362">
        <v>61</v>
      </c>
      <c r="C362">
        <v>0</v>
      </c>
      <c r="D362">
        <v>0</v>
      </c>
      <c r="E362">
        <v>0</v>
      </c>
      <c r="F362" t="s">
        <v>47</v>
      </c>
      <c r="G362" t="s">
        <v>12</v>
      </c>
      <c r="H362" t="s">
        <v>19</v>
      </c>
      <c r="I362" t="s">
        <v>14</v>
      </c>
      <c r="J362">
        <v>0</v>
      </c>
      <c r="K362" t="str">
        <f t="shared" si="5"/>
        <v>Not Affected</v>
      </c>
      <c r="L362" t="str" cm="1">
        <f t="array" ref="L362">_xlfn.IFS(B362&gt;60,"Older Adult(&gt;60)",B362&gt;35,"Middle-aged Adult(36-60)",B362&gt;18,"Young Adult(19-35)",B362&gt;12,"Adolescent(13-18)",B362&gt;0,"Child(&lt;13)")</f>
        <v>Older Adult(&gt;60)</v>
      </c>
    </row>
    <row r="363" spans="1:12">
      <c r="A363" t="s">
        <v>10</v>
      </c>
      <c r="B363">
        <v>47</v>
      </c>
      <c r="C363">
        <v>0</v>
      </c>
      <c r="D363">
        <v>0</v>
      </c>
      <c r="E363">
        <v>0</v>
      </c>
      <c r="F363" t="s">
        <v>37</v>
      </c>
      <c r="G363" t="s">
        <v>17</v>
      </c>
      <c r="H363" t="s">
        <v>19</v>
      </c>
      <c r="I363" t="s">
        <v>14</v>
      </c>
      <c r="J363">
        <v>0</v>
      </c>
      <c r="K363" t="str">
        <f t="shared" si="5"/>
        <v>Not Affected</v>
      </c>
      <c r="L363" t="str" cm="1">
        <f t="array" ref="L363">_xlfn.IFS(B363&gt;60,"Older Adult(&gt;60)",B363&gt;35,"Middle-aged Adult(36-60)",B363&gt;18,"Young Adult(19-35)",B363&gt;12,"Adolescent(13-18)",B363&gt;0,"Child(&lt;13)")</f>
        <v>Middle-aged Adult(36-60)</v>
      </c>
    </row>
    <row r="364" spans="1:12">
      <c r="A364" t="s">
        <v>10</v>
      </c>
      <c r="B364">
        <v>15</v>
      </c>
      <c r="C364">
        <v>1</v>
      </c>
      <c r="D364">
        <v>1</v>
      </c>
      <c r="E364">
        <v>1</v>
      </c>
      <c r="F364" t="s">
        <v>27</v>
      </c>
      <c r="G364" t="s">
        <v>12</v>
      </c>
      <c r="H364" t="s">
        <v>24</v>
      </c>
      <c r="I364" t="s">
        <v>14</v>
      </c>
      <c r="J364">
        <v>1</v>
      </c>
      <c r="K364" t="str">
        <f t="shared" si="5"/>
        <v>Affected</v>
      </c>
      <c r="L364" t="str" cm="1">
        <f t="array" ref="L364">_xlfn.IFS(B364&gt;60,"Older Adult(&gt;60)",B364&gt;35,"Middle-aged Adult(36-60)",B364&gt;18,"Young Adult(19-35)",B364&gt;12,"Adolescent(13-18)",B364&gt;0,"Child(&lt;13)")</f>
        <v>Adolescent(13-18)</v>
      </c>
    </row>
    <row r="365" spans="1:12">
      <c r="A365" t="s">
        <v>15</v>
      </c>
      <c r="B365">
        <v>58</v>
      </c>
      <c r="C365">
        <v>0</v>
      </c>
      <c r="D365">
        <v>0</v>
      </c>
      <c r="E365">
        <v>1</v>
      </c>
      <c r="F365" t="s">
        <v>35</v>
      </c>
      <c r="G365" t="s">
        <v>17</v>
      </c>
      <c r="H365" t="s">
        <v>19</v>
      </c>
      <c r="I365" t="s">
        <v>14</v>
      </c>
      <c r="J365">
        <v>0</v>
      </c>
      <c r="K365" t="str">
        <f t="shared" si="5"/>
        <v>Not Affected</v>
      </c>
      <c r="L365" t="str" cm="1">
        <f t="array" ref="L365">_xlfn.IFS(B365&gt;60,"Older Adult(&gt;60)",B365&gt;35,"Middle-aged Adult(36-60)",B365&gt;18,"Young Adult(19-35)",B365&gt;12,"Adolescent(13-18)",B365&gt;0,"Child(&lt;13)")</f>
        <v>Middle-aged Adult(36-60)</v>
      </c>
    </row>
    <row r="366" spans="1:12">
      <c r="A366" t="s">
        <v>15</v>
      </c>
      <c r="B366">
        <v>64</v>
      </c>
      <c r="C366">
        <v>0</v>
      </c>
      <c r="D366">
        <v>0</v>
      </c>
      <c r="E366">
        <v>0</v>
      </c>
      <c r="F366" t="s">
        <v>35</v>
      </c>
      <c r="G366" t="s">
        <v>12</v>
      </c>
      <c r="H366" t="s">
        <v>13</v>
      </c>
      <c r="I366" t="s">
        <v>14</v>
      </c>
      <c r="J366">
        <v>0</v>
      </c>
      <c r="K366" t="str">
        <f t="shared" si="5"/>
        <v>Not Affected</v>
      </c>
      <c r="L366" t="str" cm="1">
        <f t="array" ref="L366">_xlfn.IFS(B366&gt;60,"Older Adult(&gt;60)",B366&gt;35,"Middle-aged Adult(36-60)",B366&gt;18,"Young Adult(19-35)",B366&gt;12,"Adolescent(13-18)",B366&gt;0,"Child(&lt;13)")</f>
        <v>Older Adult(&gt;60)</v>
      </c>
    </row>
    <row r="367" spans="1:12">
      <c r="A367" t="s">
        <v>10</v>
      </c>
      <c r="B367">
        <v>50</v>
      </c>
      <c r="C367">
        <v>1</v>
      </c>
      <c r="D367">
        <v>1</v>
      </c>
      <c r="E367">
        <v>1</v>
      </c>
      <c r="F367" t="s">
        <v>38</v>
      </c>
      <c r="G367" t="s">
        <v>17</v>
      </c>
      <c r="H367" t="s">
        <v>24</v>
      </c>
      <c r="I367" t="s">
        <v>14</v>
      </c>
      <c r="J367">
        <v>1</v>
      </c>
      <c r="K367" t="str">
        <f t="shared" si="5"/>
        <v>Affected</v>
      </c>
      <c r="L367" t="str" cm="1">
        <f t="array" ref="L367">_xlfn.IFS(B367&gt;60,"Older Adult(&gt;60)",B367&gt;35,"Middle-aged Adult(36-60)",B367&gt;18,"Young Adult(19-35)",B367&gt;12,"Adolescent(13-18)",B367&gt;0,"Child(&lt;13)")</f>
        <v>Middle-aged Adult(36-60)</v>
      </c>
    </row>
    <row r="368" spans="1:12">
      <c r="A368" t="s">
        <v>10</v>
      </c>
      <c r="B368">
        <v>52</v>
      </c>
      <c r="C368">
        <v>1</v>
      </c>
      <c r="D368">
        <v>1</v>
      </c>
      <c r="E368">
        <v>1</v>
      </c>
      <c r="F368" t="s">
        <v>39</v>
      </c>
      <c r="G368" t="s">
        <v>12</v>
      </c>
      <c r="H368" t="s">
        <v>13</v>
      </c>
      <c r="I368" t="s">
        <v>14</v>
      </c>
      <c r="J368">
        <v>1</v>
      </c>
      <c r="K368" t="str">
        <f t="shared" si="5"/>
        <v>Affected</v>
      </c>
      <c r="L368" t="str" cm="1">
        <f t="array" ref="L368">_xlfn.IFS(B368&gt;60,"Older Adult(&gt;60)",B368&gt;35,"Middle-aged Adult(36-60)",B368&gt;18,"Young Adult(19-35)",B368&gt;12,"Adolescent(13-18)",B368&gt;0,"Child(&lt;13)")</f>
        <v>Middle-aged Adult(36-60)</v>
      </c>
    </row>
    <row r="369" spans="1:12">
      <c r="A369" t="s">
        <v>15</v>
      </c>
      <c r="B369">
        <v>59</v>
      </c>
      <c r="C369">
        <v>1</v>
      </c>
      <c r="D369">
        <v>1</v>
      </c>
      <c r="E369">
        <v>0</v>
      </c>
      <c r="F369" t="s">
        <v>21</v>
      </c>
      <c r="G369" t="s">
        <v>17</v>
      </c>
      <c r="H369" t="s">
        <v>24</v>
      </c>
      <c r="I369" t="s">
        <v>14</v>
      </c>
      <c r="J369">
        <v>1</v>
      </c>
      <c r="K369" t="str">
        <f t="shared" si="5"/>
        <v>Affected</v>
      </c>
      <c r="L369" t="str" cm="1">
        <f t="array" ref="L369">_xlfn.IFS(B369&gt;60,"Older Adult(&gt;60)",B369&gt;35,"Middle-aged Adult(36-60)",B369&gt;18,"Young Adult(19-35)",B369&gt;12,"Adolescent(13-18)",B369&gt;0,"Child(&lt;13)")</f>
        <v>Middle-aged Adult(36-60)</v>
      </c>
    </row>
    <row r="370" spans="1:12">
      <c r="A370" t="s">
        <v>10</v>
      </c>
      <c r="B370">
        <v>51</v>
      </c>
      <c r="C370">
        <v>0</v>
      </c>
      <c r="D370">
        <v>0</v>
      </c>
      <c r="E370">
        <v>1</v>
      </c>
      <c r="F370" t="s">
        <v>44</v>
      </c>
      <c r="G370" t="s">
        <v>12</v>
      </c>
      <c r="H370" t="s">
        <v>13</v>
      </c>
      <c r="I370" t="s">
        <v>14</v>
      </c>
      <c r="J370">
        <v>0</v>
      </c>
      <c r="K370" t="str">
        <f t="shared" si="5"/>
        <v>Not Affected</v>
      </c>
      <c r="L370" t="str" cm="1">
        <f t="array" ref="L370">_xlfn.IFS(B370&gt;60,"Older Adult(&gt;60)",B370&gt;35,"Middle-aged Adult(36-60)",B370&gt;18,"Young Adult(19-35)",B370&gt;12,"Adolescent(13-18)",B370&gt;0,"Child(&lt;13)")</f>
        <v>Middle-aged Adult(36-60)</v>
      </c>
    </row>
    <row r="371" spans="1:12">
      <c r="A371" t="s">
        <v>15</v>
      </c>
      <c r="B371">
        <v>16</v>
      </c>
      <c r="C371">
        <v>0</v>
      </c>
      <c r="D371">
        <v>0</v>
      </c>
      <c r="E371">
        <v>1</v>
      </c>
      <c r="F371" t="s">
        <v>28</v>
      </c>
      <c r="G371" t="s">
        <v>17</v>
      </c>
      <c r="H371" t="s">
        <v>13</v>
      </c>
      <c r="I371" t="s">
        <v>14</v>
      </c>
      <c r="J371">
        <v>0</v>
      </c>
      <c r="K371" t="str">
        <f t="shared" si="5"/>
        <v>Not Affected</v>
      </c>
      <c r="L371" t="str" cm="1">
        <f t="array" ref="L371">_xlfn.IFS(B371&gt;60,"Older Adult(&gt;60)",B371&gt;35,"Middle-aged Adult(36-60)",B371&gt;18,"Young Adult(19-35)",B371&gt;12,"Adolescent(13-18)",B371&gt;0,"Child(&lt;13)")</f>
        <v>Adolescent(13-18)</v>
      </c>
    </row>
    <row r="372" spans="1:12">
      <c r="A372" t="s">
        <v>10</v>
      </c>
      <c r="B372">
        <v>20</v>
      </c>
      <c r="C372">
        <v>0</v>
      </c>
      <c r="D372">
        <v>0</v>
      </c>
      <c r="E372">
        <v>1</v>
      </c>
      <c r="F372" t="s">
        <v>29</v>
      </c>
      <c r="G372" t="s">
        <v>12</v>
      </c>
      <c r="H372" t="s">
        <v>13</v>
      </c>
      <c r="I372" t="s">
        <v>14</v>
      </c>
      <c r="J372">
        <v>0</v>
      </c>
      <c r="K372" t="str">
        <f t="shared" si="5"/>
        <v>Not Affected</v>
      </c>
      <c r="L372" t="str" cm="1">
        <f t="array" ref="L372">_xlfn.IFS(B372&gt;60,"Older Adult(&gt;60)",B372&gt;35,"Middle-aged Adult(36-60)",B372&gt;18,"Young Adult(19-35)",B372&gt;12,"Adolescent(13-18)",B372&gt;0,"Child(&lt;13)")</f>
        <v>Young Adult(19-35)</v>
      </c>
    </row>
    <row r="373" spans="1:12">
      <c r="A373" t="s">
        <v>15</v>
      </c>
      <c r="B373">
        <v>48</v>
      </c>
      <c r="C373">
        <v>1</v>
      </c>
      <c r="D373">
        <v>1</v>
      </c>
      <c r="E373">
        <v>1</v>
      </c>
      <c r="F373" t="s">
        <v>26</v>
      </c>
      <c r="G373" t="s">
        <v>17</v>
      </c>
      <c r="H373" t="s">
        <v>24</v>
      </c>
      <c r="I373" t="s">
        <v>14</v>
      </c>
      <c r="J373">
        <v>1</v>
      </c>
      <c r="K373" t="str">
        <f t="shared" si="5"/>
        <v>Affected</v>
      </c>
      <c r="L373" t="str" cm="1">
        <f t="array" ref="L373">_xlfn.IFS(B373&gt;60,"Older Adult(&gt;60)",B373&gt;35,"Middle-aged Adult(36-60)",B373&gt;18,"Young Adult(19-35)",B373&gt;12,"Adolescent(13-18)",B373&gt;0,"Child(&lt;13)")</f>
        <v>Middle-aged Adult(36-60)</v>
      </c>
    </row>
    <row r="374" spans="1:12">
      <c r="A374" t="s">
        <v>15</v>
      </c>
      <c r="B374">
        <v>31</v>
      </c>
      <c r="C374">
        <v>0</v>
      </c>
      <c r="D374">
        <v>0</v>
      </c>
      <c r="E374">
        <v>0</v>
      </c>
      <c r="F374" t="s">
        <v>23</v>
      </c>
      <c r="G374" t="s">
        <v>12</v>
      </c>
      <c r="H374" t="s">
        <v>24</v>
      </c>
      <c r="I374" t="s">
        <v>14</v>
      </c>
      <c r="J374">
        <v>0</v>
      </c>
      <c r="K374" t="str">
        <f t="shared" si="5"/>
        <v>Not Affected</v>
      </c>
      <c r="L374" t="str" cm="1">
        <f t="array" ref="L374">_xlfn.IFS(B374&gt;60,"Older Adult(&gt;60)",B374&gt;35,"Middle-aged Adult(36-60)",B374&gt;18,"Young Adult(19-35)",B374&gt;12,"Adolescent(13-18)",B374&gt;0,"Child(&lt;13)")</f>
        <v>Young Adult(19-35)</v>
      </c>
    </row>
    <row r="375" spans="1:12">
      <c r="A375" t="s">
        <v>15</v>
      </c>
      <c r="B375">
        <v>53</v>
      </c>
      <c r="C375">
        <v>1</v>
      </c>
      <c r="D375">
        <v>1</v>
      </c>
      <c r="E375">
        <v>1</v>
      </c>
      <c r="F375" t="s">
        <v>33</v>
      </c>
      <c r="G375" t="s">
        <v>17</v>
      </c>
      <c r="H375" t="s">
        <v>19</v>
      </c>
      <c r="I375" t="s">
        <v>14</v>
      </c>
      <c r="J375">
        <v>1</v>
      </c>
      <c r="K375" t="str">
        <f t="shared" si="5"/>
        <v>Affected</v>
      </c>
      <c r="L375" t="str" cm="1">
        <f t="array" ref="L375">_xlfn.IFS(B375&gt;60,"Older Adult(&gt;60)",B375&gt;35,"Middle-aged Adult(36-60)",B375&gt;18,"Young Adult(19-35)",B375&gt;12,"Adolescent(13-18)",B375&gt;0,"Child(&lt;13)")</f>
        <v>Middle-aged Adult(36-60)</v>
      </c>
    </row>
    <row r="376" spans="1:12">
      <c r="A376" t="s">
        <v>10</v>
      </c>
      <c r="B376">
        <v>42</v>
      </c>
      <c r="C376">
        <v>1</v>
      </c>
      <c r="D376">
        <v>1</v>
      </c>
      <c r="E376">
        <v>0</v>
      </c>
      <c r="F376" t="s">
        <v>27</v>
      </c>
      <c r="G376" t="s">
        <v>12</v>
      </c>
      <c r="H376" t="s">
        <v>13</v>
      </c>
      <c r="I376" t="s">
        <v>14</v>
      </c>
      <c r="J376">
        <v>1</v>
      </c>
      <c r="K376" t="str">
        <f t="shared" si="5"/>
        <v>Affected</v>
      </c>
      <c r="L376" t="str" cm="1">
        <f t="array" ref="L376">_xlfn.IFS(B376&gt;60,"Older Adult(&gt;60)",B376&gt;35,"Middle-aged Adult(36-60)",B376&gt;18,"Young Adult(19-35)",B376&gt;12,"Adolescent(13-18)",B376&gt;0,"Child(&lt;13)")</f>
        <v>Middle-aged Adult(36-60)</v>
      </c>
    </row>
    <row r="377" spans="1:12">
      <c r="A377" t="s">
        <v>10</v>
      </c>
      <c r="B377">
        <v>9</v>
      </c>
      <c r="C377">
        <v>1</v>
      </c>
      <c r="D377">
        <v>1</v>
      </c>
      <c r="E377">
        <v>1</v>
      </c>
      <c r="F377" t="s">
        <v>53</v>
      </c>
      <c r="G377" t="s">
        <v>17</v>
      </c>
      <c r="H377" t="s">
        <v>13</v>
      </c>
      <c r="I377" t="s">
        <v>14</v>
      </c>
      <c r="J377">
        <v>1</v>
      </c>
      <c r="K377" t="str">
        <f t="shared" si="5"/>
        <v>Affected</v>
      </c>
      <c r="L377" t="str" cm="1">
        <f t="array" ref="L377">_xlfn.IFS(B377&gt;60,"Older Adult(&gt;60)",B377&gt;35,"Middle-aged Adult(36-60)",B377&gt;18,"Young Adult(19-35)",B377&gt;12,"Adolescent(13-18)",B377&gt;0,"Child(&lt;13)")</f>
        <v>Child(&lt;13)</v>
      </c>
    </row>
    <row r="378" spans="1:12">
      <c r="A378" t="s">
        <v>10</v>
      </c>
      <c r="B378">
        <v>8</v>
      </c>
      <c r="C378">
        <v>1</v>
      </c>
      <c r="D378">
        <v>1</v>
      </c>
      <c r="E378">
        <v>1</v>
      </c>
      <c r="F378" t="s">
        <v>22</v>
      </c>
      <c r="G378" t="s">
        <v>12</v>
      </c>
      <c r="H378" t="s">
        <v>19</v>
      </c>
      <c r="I378" t="s">
        <v>14</v>
      </c>
      <c r="J378">
        <v>1</v>
      </c>
      <c r="K378" t="str">
        <f t="shared" si="5"/>
        <v>Affected</v>
      </c>
      <c r="L378" t="str" cm="1">
        <f t="array" ref="L378">_xlfn.IFS(B378&gt;60,"Older Adult(&gt;60)",B378&gt;35,"Middle-aged Adult(36-60)",B378&gt;18,"Young Adult(19-35)",B378&gt;12,"Adolescent(13-18)",B378&gt;0,"Child(&lt;13)")</f>
        <v>Child(&lt;13)</v>
      </c>
    </row>
    <row r="379" spans="1:12">
      <c r="A379" t="s">
        <v>10</v>
      </c>
      <c r="B379">
        <v>17</v>
      </c>
      <c r="C379">
        <v>0</v>
      </c>
      <c r="D379">
        <v>0</v>
      </c>
      <c r="E379">
        <v>1</v>
      </c>
      <c r="F379" t="s">
        <v>22</v>
      </c>
      <c r="G379" t="s">
        <v>17</v>
      </c>
      <c r="H379" t="s">
        <v>13</v>
      </c>
      <c r="I379" t="s">
        <v>14</v>
      </c>
      <c r="J379">
        <v>0</v>
      </c>
      <c r="K379" t="str">
        <f t="shared" si="5"/>
        <v>Not Affected</v>
      </c>
      <c r="L379" t="str" cm="1">
        <f t="array" ref="L379">_xlfn.IFS(B379&gt;60,"Older Adult(&gt;60)",B379&gt;35,"Middle-aged Adult(36-60)",B379&gt;18,"Young Adult(19-35)",B379&gt;12,"Adolescent(13-18)",B379&gt;0,"Child(&lt;13)")</f>
        <v>Adolescent(13-18)</v>
      </c>
    </row>
    <row r="380" spans="1:12">
      <c r="A380" t="s">
        <v>10</v>
      </c>
      <c r="B380">
        <v>16</v>
      </c>
      <c r="C380">
        <v>1</v>
      </c>
      <c r="D380">
        <v>1</v>
      </c>
      <c r="E380">
        <v>0</v>
      </c>
      <c r="F380" t="s">
        <v>23</v>
      </c>
      <c r="G380" t="s">
        <v>12</v>
      </c>
      <c r="H380" t="s">
        <v>24</v>
      </c>
      <c r="I380" t="s">
        <v>14</v>
      </c>
      <c r="J380">
        <v>1</v>
      </c>
      <c r="K380" t="str">
        <f t="shared" si="5"/>
        <v>Affected</v>
      </c>
      <c r="L380" t="str" cm="1">
        <f t="array" ref="L380">_xlfn.IFS(B380&gt;60,"Older Adult(&gt;60)",B380&gt;35,"Middle-aged Adult(36-60)",B380&gt;18,"Young Adult(19-35)",B380&gt;12,"Adolescent(13-18)",B380&gt;0,"Child(&lt;13)")</f>
        <v>Adolescent(13-18)</v>
      </c>
    </row>
    <row r="381" spans="1:12">
      <c r="A381" t="s">
        <v>10</v>
      </c>
      <c r="B381">
        <v>15</v>
      </c>
      <c r="C381">
        <v>1</v>
      </c>
      <c r="D381">
        <v>1</v>
      </c>
      <c r="E381">
        <v>1</v>
      </c>
      <c r="F381" t="s">
        <v>45</v>
      </c>
      <c r="G381" t="s">
        <v>17</v>
      </c>
      <c r="H381" t="s">
        <v>19</v>
      </c>
      <c r="I381" t="s">
        <v>14</v>
      </c>
      <c r="J381">
        <v>1</v>
      </c>
      <c r="K381" t="str">
        <f t="shared" si="5"/>
        <v>Affected</v>
      </c>
      <c r="L381" t="str" cm="1">
        <f t="array" ref="L381">_xlfn.IFS(B381&gt;60,"Older Adult(&gt;60)",B381&gt;35,"Middle-aged Adult(36-60)",B381&gt;18,"Young Adult(19-35)",B381&gt;12,"Adolescent(13-18)",B381&gt;0,"Child(&lt;13)")</f>
        <v>Adolescent(13-18)</v>
      </c>
    </row>
    <row r="382" spans="1:12">
      <c r="A382" t="s">
        <v>10</v>
      </c>
      <c r="B382">
        <v>63</v>
      </c>
      <c r="C382">
        <v>0</v>
      </c>
      <c r="D382">
        <v>0</v>
      </c>
      <c r="E382">
        <v>1</v>
      </c>
      <c r="F382" t="s">
        <v>20</v>
      </c>
      <c r="G382" t="s">
        <v>12</v>
      </c>
      <c r="H382" t="s">
        <v>13</v>
      </c>
      <c r="I382" t="s">
        <v>14</v>
      </c>
      <c r="J382">
        <v>0</v>
      </c>
      <c r="K382" t="str">
        <f t="shared" si="5"/>
        <v>Not Affected</v>
      </c>
      <c r="L382" t="str" cm="1">
        <f t="array" ref="L382">_xlfn.IFS(B382&gt;60,"Older Adult(&gt;60)",B382&gt;35,"Middle-aged Adult(36-60)",B382&gt;18,"Young Adult(19-35)",B382&gt;12,"Adolescent(13-18)",B382&gt;0,"Child(&lt;13)")</f>
        <v>Older Adult(&gt;60)</v>
      </c>
    </row>
    <row r="383" spans="1:12">
      <c r="A383" t="s">
        <v>15</v>
      </c>
      <c r="B383">
        <v>35</v>
      </c>
      <c r="C383">
        <v>1</v>
      </c>
      <c r="D383">
        <v>1</v>
      </c>
      <c r="E383">
        <v>1</v>
      </c>
      <c r="F383" t="s">
        <v>44</v>
      </c>
      <c r="G383" t="s">
        <v>17</v>
      </c>
      <c r="H383" t="s">
        <v>19</v>
      </c>
      <c r="I383" t="s">
        <v>14</v>
      </c>
      <c r="J383">
        <v>1</v>
      </c>
      <c r="K383" t="str">
        <f t="shared" si="5"/>
        <v>Affected</v>
      </c>
      <c r="L383" t="str" cm="1">
        <f t="array" ref="L383">_xlfn.IFS(B383&gt;60,"Older Adult(&gt;60)",B383&gt;35,"Middle-aged Adult(36-60)",B383&gt;18,"Young Adult(19-35)",B383&gt;12,"Adolescent(13-18)",B383&gt;0,"Child(&lt;13)")</f>
        <v>Young Adult(19-35)</v>
      </c>
    </row>
    <row r="384" spans="1:12">
      <c r="A384" t="s">
        <v>15</v>
      </c>
      <c r="B384">
        <v>51</v>
      </c>
      <c r="C384">
        <v>0</v>
      </c>
      <c r="D384">
        <v>0</v>
      </c>
      <c r="E384">
        <v>0</v>
      </c>
      <c r="F384" t="s">
        <v>44</v>
      </c>
      <c r="G384" t="s">
        <v>12</v>
      </c>
      <c r="H384" t="s">
        <v>13</v>
      </c>
      <c r="I384" t="s">
        <v>14</v>
      </c>
      <c r="J384">
        <v>0</v>
      </c>
      <c r="K384" t="str">
        <f t="shared" si="5"/>
        <v>Not Affected</v>
      </c>
      <c r="L384" t="str" cm="1">
        <f t="array" ref="L384">_xlfn.IFS(B384&gt;60,"Older Adult(&gt;60)",B384&gt;35,"Middle-aged Adult(36-60)",B384&gt;18,"Young Adult(19-35)",B384&gt;12,"Adolescent(13-18)",B384&gt;0,"Child(&lt;13)")</f>
        <v>Middle-aged Adult(36-60)</v>
      </c>
    </row>
    <row r="385" spans="1:12">
      <c r="A385" t="s">
        <v>15</v>
      </c>
      <c r="B385">
        <v>33</v>
      </c>
      <c r="C385">
        <v>0</v>
      </c>
      <c r="D385">
        <v>0</v>
      </c>
      <c r="E385">
        <v>0</v>
      </c>
      <c r="F385" t="s">
        <v>30</v>
      </c>
      <c r="G385" t="s">
        <v>17</v>
      </c>
      <c r="H385" t="s">
        <v>19</v>
      </c>
      <c r="I385" t="s">
        <v>14</v>
      </c>
      <c r="J385">
        <v>0</v>
      </c>
      <c r="K385" t="str">
        <f t="shared" si="5"/>
        <v>Not Affected</v>
      </c>
      <c r="L385" t="str" cm="1">
        <f t="array" ref="L385">_xlfn.IFS(B385&gt;60,"Older Adult(&gt;60)",B385&gt;35,"Middle-aged Adult(36-60)",B385&gt;18,"Young Adult(19-35)",B385&gt;12,"Adolescent(13-18)",B385&gt;0,"Child(&lt;13)")</f>
        <v>Young Adult(19-35)</v>
      </c>
    </row>
    <row r="386" spans="1:12">
      <c r="A386" t="s">
        <v>10</v>
      </c>
      <c r="B386">
        <v>17</v>
      </c>
      <c r="C386">
        <v>1</v>
      </c>
      <c r="D386">
        <v>1</v>
      </c>
      <c r="E386">
        <v>1</v>
      </c>
      <c r="F386" t="s">
        <v>50</v>
      </c>
      <c r="G386" t="s">
        <v>12</v>
      </c>
      <c r="H386" t="s">
        <v>19</v>
      </c>
      <c r="I386" t="s">
        <v>14</v>
      </c>
      <c r="J386">
        <v>1</v>
      </c>
      <c r="K386" t="str">
        <f t="shared" si="5"/>
        <v>Affected</v>
      </c>
      <c r="L386" t="str" cm="1">
        <f t="array" ref="L386">_xlfn.IFS(B386&gt;60,"Older Adult(&gt;60)",B386&gt;35,"Middle-aged Adult(36-60)",B386&gt;18,"Young Adult(19-35)",B386&gt;12,"Adolescent(13-18)",B386&gt;0,"Child(&lt;13)")</f>
        <v>Adolescent(13-18)</v>
      </c>
    </row>
    <row r="387" spans="1:12">
      <c r="A387" t="s">
        <v>10</v>
      </c>
      <c r="B387">
        <v>50</v>
      </c>
      <c r="C387">
        <v>0</v>
      </c>
      <c r="D387">
        <v>0</v>
      </c>
      <c r="E387">
        <v>1</v>
      </c>
      <c r="F387" t="s">
        <v>43</v>
      </c>
      <c r="G387" t="s">
        <v>17</v>
      </c>
      <c r="H387" t="s">
        <v>13</v>
      </c>
      <c r="I387" t="s">
        <v>14</v>
      </c>
      <c r="J387">
        <v>0</v>
      </c>
      <c r="K387" t="str">
        <f t="shared" ref="K387:K450" si="6">IF(J387=0, "Not Affected", "Affected")</f>
        <v>Not Affected</v>
      </c>
      <c r="L387" t="str" cm="1">
        <f t="array" ref="L387">_xlfn.IFS(B387&gt;60,"Older Adult(&gt;60)",B387&gt;35,"Middle-aged Adult(36-60)",B387&gt;18,"Young Adult(19-35)",B387&gt;12,"Adolescent(13-18)",B387&gt;0,"Child(&lt;13)")</f>
        <v>Middle-aged Adult(36-60)</v>
      </c>
    </row>
    <row r="388" spans="1:12">
      <c r="A388" t="s">
        <v>10</v>
      </c>
      <c r="B388">
        <v>34</v>
      </c>
      <c r="C388">
        <v>1</v>
      </c>
      <c r="D388">
        <v>1</v>
      </c>
      <c r="E388">
        <v>1</v>
      </c>
      <c r="F388" t="s">
        <v>46</v>
      </c>
      <c r="G388" t="s">
        <v>12</v>
      </c>
      <c r="H388" t="s">
        <v>13</v>
      </c>
      <c r="I388" t="s">
        <v>14</v>
      </c>
      <c r="J388">
        <v>1</v>
      </c>
      <c r="K388" t="str">
        <f t="shared" si="6"/>
        <v>Affected</v>
      </c>
      <c r="L388" t="str" cm="1">
        <f t="array" ref="L388">_xlfn.IFS(B388&gt;60,"Older Adult(&gt;60)",B388&gt;35,"Middle-aged Adult(36-60)",B388&gt;18,"Young Adult(19-35)",B388&gt;12,"Adolescent(13-18)",B388&gt;0,"Child(&lt;13)")</f>
        <v>Young Adult(19-35)</v>
      </c>
    </row>
    <row r="389" spans="1:12">
      <c r="A389" t="s">
        <v>10</v>
      </c>
      <c r="B389">
        <v>26</v>
      </c>
      <c r="C389">
        <v>1</v>
      </c>
      <c r="D389">
        <v>1</v>
      </c>
      <c r="E389">
        <v>1</v>
      </c>
      <c r="F389" t="s">
        <v>39</v>
      </c>
      <c r="G389" t="s">
        <v>17</v>
      </c>
      <c r="H389" t="s">
        <v>24</v>
      </c>
      <c r="I389" t="s">
        <v>14</v>
      </c>
      <c r="J389">
        <v>1</v>
      </c>
      <c r="K389" t="str">
        <f t="shared" si="6"/>
        <v>Affected</v>
      </c>
      <c r="L389" t="str" cm="1">
        <f t="array" ref="L389">_xlfn.IFS(B389&gt;60,"Older Adult(&gt;60)",B389&gt;35,"Middle-aged Adult(36-60)",B389&gt;18,"Young Adult(19-35)",B389&gt;12,"Adolescent(13-18)",B389&gt;0,"Child(&lt;13)")</f>
        <v>Young Adult(19-35)</v>
      </c>
    </row>
    <row r="390" spans="1:12">
      <c r="A390" t="s">
        <v>10</v>
      </c>
      <c r="B390">
        <v>25</v>
      </c>
      <c r="C390">
        <v>0</v>
      </c>
      <c r="D390">
        <v>0</v>
      </c>
      <c r="E390">
        <v>1</v>
      </c>
      <c r="F390" t="s">
        <v>48</v>
      </c>
      <c r="G390" t="s">
        <v>12</v>
      </c>
      <c r="H390" t="s">
        <v>19</v>
      </c>
      <c r="I390" t="s">
        <v>14</v>
      </c>
      <c r="J390">
        <v>0</v>
      </c>
      <c r="K390" t="str">
        <f t="shared" si="6"/>
        <v>Not Affected</v>
      </c>
      <c r="L390" t="str" cm="1">
        <f t="array" ref="L390">_xlfn.IFS(B390&gt;60,"Older Adult(&gt;60)",B390&gt;35,"Middle-aged Adult(36-60)",B390&gt;18,"Young Adult(19-35)",B390&gt;12,"Adolescent(13-18)",B390&gt;0,"Child(&lt;13)")</f>
        <v>Young Adult(19-35)</v>
      </c>
    </row>
    <row r="391" spans="1:12">
      <c r="A391" t="s">
        <v>15</v>
      </c>
      <c r="B391">
        <v>58</v>
      </c>
      <c r="C391">
        <v>0</v>
      </c>
      <c r="D391">
        <v>0</v>
      </c>
      <c r="E391">
        <v>0</v>
      </c>
      <c r="F391" t="s">
        <v>22</v>
      </c>
      <c r="G391" t="s">
        <v>17</v>
      </c>
      <c r="H391" t="s">
        <v>24</v>
      </c>
      <c r="I391" t="s">
        <v>14</v>
      </c>
      <c r="J391">
        <v>0</v>
      </c>
      <c r="K391" t="str">
        <f t="shared" si="6"/>
        <v>Not Affected</v>
      </c>
      <c r="L391" t="str" cm="1">
        <f t="array" ref="L391">_xlfn.IFS(B391&gt;60,"Older Adult(&gt;60)",B391&gt;35,"Middle-aged Adult(36-60)",B391&gt;18,"Young Adult(19-35)",B391&gt;12,"Adolescent(13-18)",B391&gt;0,"Child(&lt;13)")</f>
        <v>Middle-aged Adult(36-60)</v>
      </c>
    </row>
    <row r="392" spans="1:12">
      <c r="A392" t="s">
        <v>10</v>
      </c>
      <c r="B392">
        <v>29</v>
      </c>
      <c r="C392">
        <v>1</v>
      </c>
      <c r="D392">
        <v>1</v>
      </c>
      <c r="E392">
        <v>1</v>
      </c>
      <c r="F392" t="s">
        <v>40</v>
      </c>
      <c r="G392" t="s">
        <v>12</v>
      </c>
      <c r="H392" t="s">
        <v>19</v>
      </c>
      <c r="I392" t="s">
        <v>14</v>
      </c>
      <c r="J392">
        <v>1</v>
      </c>
      <c r="K392" t="str">
        <f t="shared" si="6"/>
        <v>Affected</v>
      </c>
      <c r="L392" t="str" cm="1">
        <f t="array" ref="L392">_xlfn.IFS(B392&gt;60,"Older Adult(&gt;60)",B392&gt;35,"Middle-aged Adult(36-60)",B392&gt;18,"Young Adult(19-35)",B392&gt;12,"Adolescent(13-18)",B392&gt;0,"Child(&lt;13)")</f>
        <v>Young Adult(19-35)</v>
      </c>
    </row>
    <row r="393" spans="1:12">
      <c r="A393" t="s">
        <v>15</v>
      </c>
      <c r="B393">
        <v>38</v>
      </c>
      <c r="C393">
        <v>0</v>
      </c>
      <c r="D393">
        <v>0</v>
      </c>
      <c r="E393">
        <v>0</v>
      </c>
      <c r="F393" t="s">
        <v>45</v>
      </c>
      <c r="G393" t="s">
        <v>17</v>
      </c>
      <c r="H393" t="s">
        <v>24</v>
      </c>
      <c r="I393" t="s">
        <v>14</v>
      </c>
      <c r="J393">
        <v>0</v>
      </c>
      <c r="K393" t="str">
        <f t="shared" si="6"/>
        <v>Not Affected</v>
      </c>
      <c r="L393" t="str" cm="1">
        <f t="array" ref="L393">_xlfn.IFS(B393&gt;60,"Older Adult(&gt;60)",B393&gt;35,"Middle-aged Adult(36-60)",B393&gt;18,"Young Adult(19-35)",B393&gt;12,"Adolescent(13-18)",B393&gt;0,"Child(&lt;13)")</f>
        <v>Middle-aged Adult(36-60)</v>
      </c>
    </row>
    <row r="394" spans="1:12">
      <c r="A394" t="s">
        <v>10</v>
      </c>
      <c r="B394">
        <v>17</v>
      </c>
      <c r="C394">
        <v>1</v>
      </c>
      <c r="D394">
        <v>1</v>
      </c>
      <c r="E394">
        <v>0</v>
      </c>
      <c r="F394" t="s">
        <v>44</v>
      </c>
      <c r="G394" t="s">
        <v>12</v>
      </c>
      <c r="H394" t="s">
        <v>13</v>
      </c>
      <c r="I394" t="s">
        <v>14</v>
      </c>
      <c r="J394">
        <v>1</v>
      </c>
      <c r="K394" t="str">
        <f t="shared" si="6"/>
        <v>Affected</v>
      </c>
      <c r="L394" t="str" cm="1">
        <f t="array" ref="L394">_xlfn.IFS(B394&gt;60,"Older Adult(&gt;60)",B394&gt;35,"Middle-aged Adult(36-60)",B394&gt;18,"Young Adult(19-35)",B394&gt;12,"Adolescent(13-18)",B394&gt;0,"Child(&lt;13)")</f>
        <v>Adolescent(13-18)</v>
      </c>
    </row>
    <row r="395" spans="1:12">
      <c r="A395" t="s">
        <v>10</v>
      </c>
      <c r="B395">
        <v>59</v>
      </c>
      <c r="C395">
        <v>0</v>
      </c>
      <c r="D395">
        <v>0</v>
      </c>
      <c r="E395">
        <v>1</v>
      </c>
      <c r="F395" t="s">
        <v>20</v>
      </c>
      <c r="G395" t="s">
        <v>17</v>
      </c>
      <c r="H395" t="s">
        <v>13</v>
      </c>
      <c r="I395" t="s">
        <v>14</v>
      </c>
      <c r="J395">
        <v>0</v>
      </c>
      <c r="K395" t="str">
        <f t="shared" si="6"/>
        <v>Not Affected</v>
      </c>
      <c r="L395" t="str" cm="1">
        <f t="array" ref="L395">_xlfn.IFS(B395&gt;60,"Older Adult(&gt;60)",B395&gt;35,"Middle-aged Adult(36-60)",B395&gt;18,"Young Adult(19-35)",B395&gt;12,"Adolescent(13-18)",B395&gt;0,"Child(&lt;13)")</f>
        <v>Middle-aged Adult(36-60)</v>
      </c>
    </row>
    <row r="396" spans="1:12">
      <c r="A396" t="s">
        <v>10</v>
      </c>
      <c r="B396">
        <v>22</v>
      </c>
      <c r="C396">
        <v>0</v>
      </c>
      <c r="D396">
        <v>0</v>
      </c>
      <c r="E396">
        <v>1</v>
      </c>
      <c r="F396" t="s">
        <v>37</v>
      </c>
      <c r="G396" t="s">
        <v>12</v>
      </c>
      <c r="H396" t="s">
        <v>24</v>
      </c>
      <c r="I396" t="s">
        <v>14</v>
      </c>
      <c r="J396">
        <v>0</v>
      </c>
      <c r="K396" t="str">
        <f t="shared" si="6"/>
        <v>Not Affected</v>
      </c>
      <c r="L396" t="str" cm="1">
        <f t="array" ref="L396">_xlfn.IFS(B396&gt;60,"Older Adult(&gt;60)",B396&gt;35,"Middle-aged Adult(36-60)",B396&gt;18,"Young Adult(19-35)",B396&gt;12,"Adolescent(13-18)",B396&gt;0,"Child(&lt;13)")</f>
        <v>Young Adult(19-35)</v>
      </c>
    </row>
    <row r="397" spans="1:12">
      <c r="A397" t="s">
        <v>10</v>
      </c>
      <c r="B397">
        <v>18</v>
      </c>
      <c r="C397">
        <v>1</v>
      </c>
      <c r="D397">
        <v>1</v>
      </c>
      <c r="E397">
        <v>0</v>
      </c>
      <c r="F397" t="s">
        <v>22</v>
      </c>
      <c r="G397" t="s">
        <v>17</v>
      </c>
      <c r="H397" t="s">
        <v>19</v>
      </c>
      <c r="I397" t="s">
        <v>14</v>
      </c>
      <c r="J397">
        <v>1</v>
      </c>
      <c r="K397" t="str">
        <f t="shared" si="6"/>
        <v>Affected</v>
      </c>
      <c r="L397" t="str" cm="1">
        <f t="array" ref="L397">_xlfn.IFS(B397&gt;60,"Older Adult(&gt;60)",B397&gt;35,"Middle-aged Adult(36-60)",B397&gt;18,"Young Adult(19-35)",B397&gt;12,"Adolescent(13-18)",B397&gt;0,"Child(&lt;13)")</f>
        <v>Adolescent(13-18)</v>
      </c>
    </row>
    <row r="398" spans="1:12">
      <c r="A398" t="s">
        <v>10</v>
      </c>
      <c r="B398">
        <v>45</v>
      </c>
      <c r="C398">
        <v>0</v>
      </c>
      <c r="D398">
        <v>0</v>
      </c>
      <c r="E398">
        <v>0</v>
      </c>
      <c r="F398" t="s">
        <v>49</v>
      </c>
      <c r="G398" t="s">
        <v>12</v>
      </c>
      <c r="H398" t="s">
        <v>24</v>
      </c>
      <c r="I398" t="s">
        <v>14</v>
      </c>
      <c r="J398">
        <v>0</v>
      </c>
      <c r="K398" t="str">
        <f t="shared" si="6"/>
        <v>Not Affected</v>
      </c>
      <c r="L398" t="str" cm="1">
        <f t="array" ref="L398">_xlfn.IFS(B398&gt;60,"Older Adult(&gt;60)",B398&gt;35,"Middle-aged Adult(36-60)",B398&gt;18,"Young Adult(19-35)",B398&gt;12,"Adolescent(13-18)",B398&gt;0,"Child(&lt;13)")</f>
        <v>Middle-aged Adult(36-60)</v>
      </c>
    </row>
    <row r="399" spans="1:12">
      <c r="A399" t="s">
        <v>10</v>
      </c>
      <c r="B399">
        <v>9</v>
      </c>
      <c r="C399">
        <v>1</v>
      </c>
      <c r="D399">
        <v>1</v>
      </c>
      <c r="E399">
        <v>0</v>
      </c>
      <c r="F399" t="s">
        <v>43</v>
      </c>
      <c r="G399" t="s">
        <v>17</v>
      </c>
      <c r="H399" t="s">
        <v>24</v>
      </c>
      <c r="I399" t="s">
        <v>14</v>
      </c>
      <c r="J399">
        <v>1</v>
      </c>
      <c r="K399" t="str">
        <f t="shared" si="6"/>
        <v>Affected</v>
      </c>
      <c r="L399" t="str" cm="1">
        <f t="array" ref="L399">_xlfn.IFS(B399&gt;60,"Older Adult(&gt;60)",B399&gt;35,"Middle-aged Adult(36-60)",B399&gt;18,"Young Adult(19-35)",B399&gt;12,"Adolescent(13-18)",B399&gt;0,"Child(&lt;13)")</f>
        <v>Child(&lt;13)</v>
      </c>
    </row>
    <row r="400" spans="1:12">
      <c r="A400" t="s">
        <v>15</v>
      </c>
      <c r="B400">
        <v>50</v>
      </c>
      <c r="C400">
        <v>0</v>
      </c>
      <c r="D400">
        <v>0</v>
      </c>
      <c r="E400">
        <v>1</v>
      </c>
      <c r="F400" t="s">
        <v>18</v>
      </c>
      <c r="G400" t="s">
        <v>12</v>
      </c>
      <c r="H400" t="s">
        <v>19</v>
      </c>
      <c r="I400" t="s">
        <v>14</v>
      </c>
      <c r="J400">
        <v>0</v>
      </c>
      <c r="K400" t="str">
        <f t="shared" si="6"/>
        <v>Not Affected</v>
      </c>
      <c r="L400" t="str" cm="1">
        <f t="array" ref="L400">_xlfn.IFS(B400&gt;60,"Older Adult(&gt;60)",B400&gt;35,"Middle-aged Adult(36-60)",B400&gt;18,"Young Adult(19-35)",B400&gt;12,"Adolescent(13-18)",B400&gt;0,"Child(&lt;13)")</f>
        <v>Middle-aged Adult(36-60)</v>
      </c>
    </row>
    <row r="401" spans="1:12">
      <c r="A401" t="s">
        <v>10</v>
      </c>
      <c r="B401">
        <v>50</v>
      </c>
      <c r="C401">
        <v>1</v>
      </c>
      <c r="D401">
        <v>1</v>
      </c>
      <c r="E401">
        <v>0</v>
      </c>
      <c r="F401" t="s">
        <v>32</v>
      </c>
      <c r="G401" t="s">
        <v>17</v>
      </c>
      <c r="H401" t="s">
        <v>24</v>
      </c>
      <c r="I401" t="s">
        <v>14</v>
      </c>
      <c r="J401">
        <v>1</v>
      </c>
      <c r="K401" t="str">
        <f t="shared" si="6"/>
        <v>Affected</v>
      </c>
      <c r="L401" t="str" cm="1">
        <f t="array" ref="L401">_xlfn.IFS(B401&gt;60,"Older Adult(&gt;60)",B401&gt;35,"Middle-aged Adult(36-60)",B401&gt;18,"Young Adult(19-35)",B401&gt;12,"Adolescent(13-18)",B401&gt;0,"Child(&lt;13)")</f>
        <v>Middle-aged Adult(36-60)</v>
      </c>
    </row>
    <row r="402" spans="1:12">
      <c r="A402" t="s">
        <v>15</v>
      </c>
      <c r="B402">
        <v>14</v>
      </c>
      <c r="C402">
        <v>0</v>
      </c>
      <c r="D402">
        <v>0</v>
      </c>
      <c r="E402">
        <v>0</v>
      </c>
      <c r="F402" t="s">
        <v>42</v>
      </c>
      <c r="G402" t="s">
        <v>12</v>
      </c>
      <c r="H402" t="s">
        <v>13</v>
      </c>
      <c r="I402" t="s">
        <v>14</v>
      </c>
      <c r="J402">
        <v>0</v>
      </c>
      <c r="K402" t="str">
        <f t="shared" si="6"/>
        <v>Not Affected</v>
      </c>
      <c r="L402" t="str" cm="1">
        <f t="array" ref="L402">_xlfn.IFS(B402&gt;60,"Older Adult(&gt;60)",B402&gt;35,"Middle-aged Adult(36-60)",B402&gt;18,"Young Adult(19-35)",B402&gt;12,"Adolescent(13-18)",B402&gt;0,"Child(&lt;13)")</f>
        <v>Adolescent(13-18)</v>
      </c>
    </row>
    <row r="403" spans="1:12">
      <c r="A403" t="s">
        <v>10</v>
      </c>
      <c r="B403">
        <v>40</v>
      </c>
      <c r="C403">
        <v>0</v>
      </c>
      <c r="D403">
        <v>0</v>
      </c>
      <c r="E403">
        <v>1</v>
      </c>
      <c r="F403" t="s">
        <v>11</v>
      </c>
      <c r="G403" t="s">
        <v>17</v>
      </c>
      <c r="H403" t="s">
        <v>19</v>
      </c>
      <c r="I403" t="s">
        <v>14</v>
      </c>
      <c r="J403">
        <v>0</v>
      </c>
      <c r="K403" t="str">
        <f t="shared" si="6"/>
        <v>Not Affected</v>
      </c>
      <c r="L403" t="str" cm="1">
        <f t="array" ref="L403">_xlfn.IFS(B403&gt;60,"Older Adult(&gt;60)",B403&gt;35,"Middle-aged Adult(36-60)",B403&gt;18,"Young Adult(19-35)",B403&gt;12,"Adolescent(13-18)",B403&gt;0,"Child(&lt;13)")</f>
        <v>Middle-aged Adult(36-60)</v>
      </c>
    </row>
    <row r="404" spans="1:12">
      <c r="A404" t="s">
        <v>10</v>
      </c>
      <c r="B404">
        <v>62</v>
      </c>
      <c r="C404">
        <v>0</v>
      </c>
      <c r="D404">
        <v>0</v>
      </c>
      <c r="E404">
        <v>1</v>
      </c>
      <c r="F404" t="s">
        <v>16</v>
      </c>
      <c r="G404" t="s">
        <v>12</v>
      </c>
      <c r="H404" t="s">
        <v>13</v>
      </c>
      <c r="I404" t="s">
        <v>14</v>
      </c>
      <c r="J404">
        <v>0</v>
      </c>
      <c r="K404" t="str">
        <f t="shared" si="6"/>
        <v>Not Affected</v>
      </c>
      <c r="L404" t="str" cm="1">
        <f t="array" ref="L404">_xlfn.IFS(B404&gt;60,"Older Adult(&gt;60)",B404&gt;35,"Middle-aged Adult(36-60)",B404&gt;18,"Young Adult(19-35)",B404&gt;12,"Adolescent(13-18)",B404&gt;0,"Child(&lt;13)")</f>
        <v>Older Adult(&gt;60)</v>
      </c>
    </row>
    <row r="405" spans="1:12">
      <c r="A405" t="s">
        <v>10</v>
      </c>
      <c r="B405">
        <v>40</v>
      </c>
      <c r="C405">
        <v>1</v>
      </c>
      <c r="D405">
        <v>1</v>
      </c>
      <c r="E405">
        <v>1</v>
      </c>
      <c r="F405" t="s">
        <v>16</v>
      </c>
      <c r="G405" t="s">
        <v>17</v>
      </c>
      <c r="H405" t="s">
        <v>19</v>
      </c>
      <c r="I405" t="s">
        <v>14</v>
      </c>
      <c r="J405">
        <v>1</v>
      </c>
      <c r="K405" t="str">
        <f t="shared" si="6"/>
        <v>Affected</v>
      </c>
      <c r="L405" t="str" cm="1">
        <f t="array" ref="L405">_xlfn.IFS(B405&gt;60,"Older Adult(&gt;60)",B405&gt;35,"Middle-aged Adult(36-60)",B405&gt;18,"Young Adult(19-35)",B405&gt;12,"Adolescent(13-18)",B405&gt;0,"Child(&lt;13)")</f>
        <v>Middle-aged Adult(36-60)</v>
      </c>
    </row>
    <row r="406" spans="1:12">
      <c r="A406" t="s">
        <v>15</v>
      </c>
      <c r="B406">
        <v>24</v>
      </c>
      <c r="C406">
        <v>0</v>
      </c>
      <c r="D406">
        <v>0</v>
      </c>
      <c r="E406">
        <v>1</v>
      </c>
      <c r="F406" t="s">
        <v>25</v>
      </c>
      <c r="G406" t="s">
        <v>12</v>
      </c>
      <c r="H406" t="s">
        <v>24</v>
      </c>
      <c r="I406" t="s">
        <v>14</v>
      </c>
      <c r="J406">
        <v>0</v>
      </c>
      <c r="K406" t="str">
        <f t="shared" si="6"/>
        <v>Not Affected</v>
      </c>
      <c r="L406" t="str" cm="1">
        <f t="array" ref="L406">_xlfn.IFS(B406&gt;60,"Older Adult(&gt;60)",B406&gt;35,"Middle-aged Adult(36-60)",B406&gt;18,"Young Adult(19-35)",B406&gt;12,"Adolescent(13-18)",B406&gt;0,"Child(&lt;13)")</f>
        <v>Young Adult(19-35)</v>
      </c>
    </row>
    <row r="407" spans="1:12">
      <c r="A407" t="s">
        <v>15</v>
      </c>
      <c r="B407">
        <v>21</v>
      </c>
      <c r="C407">
        <v>0</v>
      </c>
      <c r="D407">
        <v>0</v>
      </c>
      <c r="E407">
        <v>1</v>
      </c>
      <c r="F407" t="s">
        <v>39</v>
      </c>
      <c r="G407" t="s">
        <v>17</v>
      </c>
      <c r="H407" t="s">
        <v>19</v>
      </c>
      <c r="I407" t="s">
        <v>14</v>
      </c>
      <c r="J407">
        <v>0</v>
      </c>
      <c r="K407" t="str">
        <f t="shared" si="6"/>
        <v>Not Affected</v>
      </c>
      <c r="L407" t="str" cm="1">
        <f t="array" ref="L407">_xlfn.IFS(B407&gt;60,"Older Adult(&gt;60)",B407&gt;35,"Middle-aged Adult(36-60)",B407&gt;18,"Young Adult(19-35)",B407&gt;12,"Adolescent(13-18)",B407&gt;0,"Child(&lt;13)")</f>
        <v>Young Adult(19-35)</v>
      </c>
    </row>
    <row r="408" spans="1:12">
      <c r="A408" t="s">
        <v>15</v>
      </c>
      <c r="B408">
        <v>62</v>
      </c>
      <c r="C408">
        <v>1</v>
      </c>
      <c r="D408">
        <v>1</v>
      </c>
      <c r="E408">
        <v>0</v>
      </c>
      <c r="F408" t="s">
        <v>28</v>
      </c>
      <c r="G408" t="s">
        <v>12</v>
      </c>
      <c r="H408" t="s">
        <v>19</v>
      </c>
      <c r="I408" t="s">
        <v>14</v>
      </c>
      <c r="J408">
        <v>1</v>
      </c>
      <c r="K408" t="str">
        <f t="shared" si="6"/>
        <v>Affected</v>
      </c>
      <c r="L408" t="str" cm="1">
        <f t="array" ref="L408">_xlfn.IFS(B408&gt;60,"Older Adult(&gt;60)",B408&gt;35,"Middle-aged Adult(36-60)",B408&gt;18,"Young Adult(19-35)",B408&gt;12,"Adolescent(13-18)",B408&gt;0,"Child(&lt;13)")</f>
        <v>Older Adult(&gt;60)</v>
      </c>
    </row>
    <row r="409" spans="1:12">
      <c r="A409" t="s">
        <v>15</v>
      </c>
      <c r="B409">
        <v>16</v>
      </c>
      <c r="C409">
        <v>1</v>
      </c>
      <c r="D409">
        <v>1</v>
      </c>
      <c r="E409">
        <v>1</v>
      </c>
      <c r="F409" t="s">
        <v>16</v>
      </c>
      <c r="G409" t="s">
        <v>17</v>
      </c>
      <c r="H409" t="s">
        <v>13</v>
      </c>
      <c r="I409" t="s">
        <v>14</v>
      </c>
      <c r="J409">
        <v>1</v>
      </c>
      <c r="K409" t="str">
        <f t="shared" si="6"/>
        <v>Affected</v>
      </c>
      <c r="L409" t="str" cm="1">
        <f t="array" ref="L409">_xlfn.IFS(B409&gt;60,"Older Adult(&gt;60)",B409&gt;35,"Middle-aged Adult(36-60)",B409&gt;18,"Young Adult(19-35)",B409&gt;12,"Adolescent(13-18)",B409&gt;0,"Child(&lt;13)")</f>
        <v>Adolescent(13-18)</v>
      </c>
    </row>
    <row r="410" spans="1:12">
      <c r="A410" t="s">
        <v>15</v>
      </c>
      <c r="B410">
        <v>11</v>
      </c>
      <c r="C410">
        <v>0</v>
      </c>
      <c r="D410">
        <v>0</v>
      </c>
      <c r="E410">
        <v>0</v>
      </c>
      <c r="F410" t="s">
        <v>36</v>
      </c>
      <c r="G410" t="s">
        <v>12</v>
      </c>
      <c r="H410" t="s">
        <v>13</v>
      </c>
      <c r="I410" t="s">
        <v>14</v>
      </c>
      <c r="J410">
        <v>0</v>
      </c>
      <c r="K410" t="str">
        <f t="shared" si="6"/>
        <v>Not Affected</v>
      </c>
      <c r="L410" t="str" cm="1">
        <f t="array" ref="L410">_xlfn.IFS(B410&gt;60,"Older Adult(&gt;60)",B410&gt;35,"Middle-aged Adult(36-60)",B410&gt;18,"Young Adult(19-35)",B410&gt;12,"Adolescent(13-18)",B410&gt;0,"Child(&lt;13)")</f>
        <v>Child(&lt;13)</v>
      </c>
    </row>
    <row r="411" spans="1:12">
      <c r="A411" t="s">
        <v>15</v>
      </c>
      <c r="B411">
        <v>30</v>
      </c>
      <c r="C411">
        <v>1</v>
      </c>
      <c r="D411">
        <v>1</v>
      </c>
      <c r="E411">
        <v>0</v>
      </c>
      <c r="F411" t="s">
        <v>16</v>
      </c>
      <c r="G411" t="s">
        <v>17</v>
      </c>
      <c r="H411" t="s">
        <v>19</v>
      </c>
      <c r="I411" t="s">
        <v>14</v>
      </c>
      <c r="J411">
        <v>1</v>
      </c>
      <c r="K411" t="str">
        <f t="shared" si="6"/>
        <v>Affected</v>
      </c>
      <c r="L411" t="str" cm="1">
        <f t="array" ref="L411">_xlfn.IFS(B411&gt;60,"Older Adult(&gt;60)",B411&gt;35,"Middle-aged Adult(36-60)",B411&gt;18,"Young Adult(19-35)",B411&gt;12,"Adolescent(13-18)",B411&gt;0,"Child(&lt;13)")</f>
        <v>Young Adult(19-35)</v>
      </c>
    </row>
    <row r="412" spans="1:12">
      <c r="A412" t="s">
        <v>15</v>
      </c>
      <c r="B412">
        <v>55</v>
      </c>
      <c r="C412">
        <v>0</v>
      </c>
      <c r="D412">
        <v>0</v>
      </c>
      <c r="E412">
        <v>0</v>
      </c>
      <c r="F412" t="s">
        <v>29</v>
      </c>
      <c r="G412" t="s">
        <v>12</v>
      </c>
      <c r="H412" t="s">
        <v>24</v>
      </c>
      <c r="I412" t="s">
        <v>14</v>
      </c>
      <c r="J412">
        <v>0</v>
      </c>
      <c r="K412" t="str">
        <f t="shared" si="6"/>
        <v>Not Affected</v>
      </c>
      <c r="L412" t="str" cm="1">
        <f t="array" ref="L412">_xlfn.IFS(B412&gt;60,"Older Adult(&gt;60)",B412&gt;35,"Middle-aged Adult(36-60)",B412&gt;18,"Young Adult(19-35)",B412&gt;12,"Adolescent(13-18)",B412&gt;0,"Child(&lt;13)")</f>
        <v>Middle-aged Adult(36-60)</v>
      </c>
    </row>
    <row r="413" spans="1:12">
      <c r="A413" t="s">
        <v>15</v>
      </c>
      <c r="B413">
        <v>24</v>
      </c>
      <c r="C413">
        <v>0</v>
      </c>
      <c r="D413">
        <v>0</v>
      </c>
      <c r="E413">
        <v>1</v>
      </c>
      <c r="F413" t="s">
        <v>41</v>
      </c>
      <c r="G413" t="s">
        <v>17</v>
      </c>
      <c r="H413" t="s">
        <v>19</v>
      </c>
      <c r="I413" t="s">
        <v>14</v>
      </c>
      <c r="J413">
        <v>0</v>
      </c>
      <c r="K413" t="str">
        <f t="shared" si="6"/>
        <v>Not Affected</v>
      </c>
      <c r="L413" t="str" cm="1">
        <f t="array" ref="L413">_xlfn.IFS(B413&gt;60,"Older Adult(&gt;60)",B413&gt;35,"Middle-aged Adult(36-60)",B413&gt;18,"Young Adult(19-35)",B413&gt;12,"Adolescent(13-18)",B413&gt;0,"Child(&lt;13)")</f>
        <v>Young Adult(19-35)</v>
      </c>
    </row>
    <row r="414" spans="1:12">
      <c r="A414" t="s">
        <v>10</v>
      </c>
      <c r="B414">
        <v>54</v>
      </c>
      <c r="C414">
        <v>0</v>
      </c>
      <c r="D414">
        <v>0</v>
      </c>
      <c r="E414">
        <v>1</v>
      </c>
      <c r="F414" t="s">
        <v>53</v>
      </c>
      <c r="G414" t="s">
        <v>12</v>
      </c>
      <c r="H414" t="s">
        <v>19</v>
      </c>
      <c r="I414" t="s">
        <v>14</v>
      </c>
      <c r="J414">
        <v>0</v>
      </c>
      <c r="K414" t="str">
        <f t="shared" si="6"/>
        <v>Not Affected</v>
      </c>
      <c r="L414" t="str" cm="1">
        <f t="array" ref="L414">_xlfn.IFS(B414&gt;60,"Older Adult(&gt;60)",B414&gt;35,"Middle-aged Adult(36-60)",B414&gt;18,"Young Adult(19-35)",B414&gt;12,"Adolescent(13-18)",B414&gt;0,"Child(&lt;13)")</f>
        <v>Middle-aged Adult(36-60)</v>
      </c>
    </row>
    <row r="415" spans="1:12">
      <c r="A415" t="s">
        <v>15</v>
      </c>
      <c r="B415">
        <v>29</v>
      </c>
      <c r="C415">
        <v>1</v>
      </c>
      <c r="D415">
        <v>1</v>
      </c>
      <c r="E415">
        <v>0</v>
      </c>
      <c r="F415" t="s">
        <v>44</v>
      </c>
      <c r="G415" t="s">
        <v>17</v>
      </c>
      <c r="H415" t="s">
        <v>24</v>
      </c>
      <c r="I415" t="s">
        <v>14</v>
      </c>
      <c r="J415">
        <v>1</v>
      </c>
      <c r="K415" t="str">
        <f t="shared" si="6"/>
        <v>Affected</v>
      </c>
      <c r="L415" t="str" cm="1">
        <f t="array" ref="L415">_xlfn.IFS(B415&gt;60,"Older Adult(&gt;60)",B415&gt;35,"Middle-aged Adult(36-60)",B415&gt;18,"Young Adult(19-35)",B415&gt;12,"Adolescent(13-18)",B415&gt;0,"Child(&lt;13)")</f>
        <v>Young Adult(19-35)</v>
      </c>
    </row>
    <row r="416" spans="1:12">
      <c r="A416" t="s">
        <v>10</v>
      </c>
      <c r="B416">
        <v>20</v>
      </c>
      <c r="C416">
        <v>0</v>
      </c>
      <c r="D416">
        <v>0</v>
      </c>
      <c r="E416">
        <v>1</v>
      </c>
      <c r="F416" t="s">
        <v>29</v>
      </c>
      <c r="G416" t="s">
        <v>12</v>
      </c>
      <c r="H416" t="s">
        <v>24</v>
      </c>
      <c r="I416" t="s">
        <v>14</v>
      </c>
      <c r="J416">
        <v>0</v>
      </c>
      <c r="K416" t="str">
        <f t="shared" si="6"/>
        <v>Not Affected</v>
      </c>
      <c r="L416" t="str" cm="1">
        <f t="array" ref="L416">_xlfn.IFS(B416&gt;60,"Older Adult(&gt;60)",B416&gt;35,"Middle-aged Adult(36-60)",B416&gt;18,"Young Adult(19-35)",B416&gt;12,"Adolescent(13-18)",B416&gt;0,"Child(&lt;13)")</f>
        <v>Young Adult(19-35)</v>
      </c>
    </row>
    <row r="417" spans="1:12">
      <c r="A417" t="s">
        <v>15</v>
      </c>
      <c r="B417">
        <v>57</v>
      </c>
      <c r="C417">
        <v>1</v>
      </c>
      <c r="D417">
        <v>1</v>
      </c>
      <c r="E417">
        <v>1</v>
      </c>
      <c r="F417" t="s">
        <v>46</v>
      </c>
      <c r="G417" t="s">
        <v>17</v>
      </c>
      <c r="H417" t="s">
        <v>24</v>
      </c>
      <c r="I417" t="s">
        <v>14</v>
      </c>
      <c r="J417">
        <v>1</v>
      </c>
      <c r="K417" t="str">
        <f t="shared" si="6"/>
        <v>Affected</v>
      </c>
      <c r="L417" t="str" cm="1">
        <f t="array" ref="L417">_xlfn.IFS(B417&gt;60,"Older Adult(&gt;60)",B417&gt;35,"Middle-aged Adult(36-60)",B417&gt;18,"Young Adult(19-35)",B417&gt;12,"Adolescent(13-18)",B417&gt;0,"Child(&lt;13)")</f>
        <v>Middle-aged Adult(36-60)</v>
      </c>
    </row>
    <row r="418" spans="1:12">
      <c r="A418" t="s">
        <v>15</v>
      </c>
      <c r="B418">
        <v>62</v>
      </c>
      <c r="C418">
        <v>0</v>
      </c>
      <c r="D418">
        <v>0</v>
      </c>
      <c r="E418">
        <v>1</v>
      </c>
      <c r="F418" t="s">
        <v>47</v>
      </c>
      <c r="G418" t="s">
        <v>12</v>
      </c>
      <c r="H418" t="s">
        <v>19</v>
      </c>
      <c r="I418" t="s">
        <v>14</v>
      </c>
      <c r="J418">
        <v>0</v>
      </c>
      <c r="K418" t="str">
        <f t="shared" si="6"/>
        <v>Not Affected</v>
      </c>
      <c r="L418" t="str" cm="1">
        <f t="array" ref="L418">_xlfn.IFS(B418&gt;60,"Older Adult(&gt;60)",B418&gt;35,"Middle-aged Adult(36-60)",B418&gt;18,"Young Adult(19-35)",B418&gt;12,"Adolescent(13-18)",B418&gt;0,"Child(&lt;13)")</f>
        <v>Older Adult(&gt;60)</v>
      </c>
    </row>
    <row r="419" spans="1:12">
      <c r="A419" t="s">
        <v>10</v>
      </c>
      <c r="B419">
        <v>35</v>
      </c>
      <c r="C419">
        <v>0</v>
      </c>
      <c r="D419">
        <v>0</v>
      </c>
      <c r="E419">
        <v>1</v>
      </c>
      <c r="F419" t="s">
        <v>47</v>
      </c>
      <c r="G419" t="s">
        <v>17</v>
      </c>
      <c r="H419" t="s">
        <v>24</v>
      </c>
      <c r="I419" t="s">
        <v>14</v>
      </c>
      <c r="J419">
        <v>0</v>
      </c>
      <c r="K419" t="str">
        <f t="shared" si="6"/>
        <v>Not Affected</v>
      </c>
      <c r="L419" t="str" cm="1">
        <f t="array" ref="L419">_xlfn.IFS(B419&gt;60,"Older Adult(&gt;60)",B419&gt;35,"Middle-aged Adult(36-60)",B419&gt;18,"Young Adult(19-35)",B419&gt;12,"Adolescent(13-18)",B419&gt;0,"Child(&lt;13)")</f>
        <v>Young Adult(19-35)</v>
      </c>
    </row>
    <row r="420" spans="1:12">
      <c r="A420" t="s">
        <v>10</v>
      </c>
      <c r="B420">
        <v>22</v>
      </c>
      <c r="C420">
        <v>1</v>
      </c>
      <c r="D420">
        <v>1</v>
      </c>
      <c r="E420">
        <v>1</v>
      </c>
      <c r="F420" t="s">
        <v>11</v>
      </c>
      <c r="G420" t="s">
        <v>12</v>
      </c>
      <c r="H420" t="s">
        <v>19</v>
      </c>
      <c r="I420" t="s">
        <v>14</v>
      </c>
      <c r="J420">
        <v>1</v>
      </c>
      <c r="K420" t="str">
        <f t="shared" si="6"/>
        <v>Affected</v>
      </c>
      <c r="L420" t="str" cm="1">
        <f t="array" ref="L420">_xlfn.IFS(B420&gt;60,"Older Adult(&gt;60)",B420&gt;35,"Middle-aged Adult(36-60)",B420&gt;18,"Young Adult(19-35)",B420&gt;12,"Adolescent(13-18)",B420&gt;0,"Child(&lt;13)")</f>
        <v>Young Adult(19-35)</v>
      </c>
    </row>
    <row r="421" spans="1:12">
      <c r="A421" t="s">
        <v>15</v>
      </c>
      <c r="B421">
        <v>14</v>
      </c>
      <c r="C421">
        <v>1</v>
      </c>
      <c r="D421">
        <v>1</v>
      </c>
      <c r="E421">
        <v>1</v>
      </c>
      <c r="F421" t="s">
        <v>48</v>
      </c>
      <c r="G421" t="s">
        <v>17</v>
      </c>
      <c r="H421" t="s">
        <v>13</v>
      </c>
      <c r="I421" t="s">
        <v>14</v>
      </c>
      <c r="J421">
        <v>1</v>
      </c>
      <c r="K421" t="str">
        <f t="shared" si="6"/>
        <v>Affected</v>
      </c>
      <c r="L421" t="str" cm="1">
        <f t="array" ref="L421">_xlfn.IFS(B421&gt;60,"Older Adult(&gt;60)",B421&gt;35,"Middle-aged Adult(36-60)",B421&gt;18,"Young Adult(19-35)",B421&gt;12,"Adolescent(13-18)",B421&gt;0,"Child(&lt;13)")</f>
        <v>Adolescent(13-18)</v>
      </c>
    </row>
    <row r="422" spans="1:12">
      <c r="A422" t="s">
        <v>10</v>
      </c>
      <c r="B422">
        <v>40</v>
      </c>
      <c r="C422">
        <v>1</v>
      </c>
      <c r="D422">
        <v>1</v>
      </c>
      <c r="E422">
        <v>0</v>
      </c>
      <c r="F422" t="s">
        <v>47</v>
      </c>
      <c r="G422" t="s">
        <v>12</v>
      </c>
      <c r="H422" t="s">
        <v>13</v>
      </c>
      <c r="I422" t="s">
        <v>14</v>
      </c>
      <c r="J422">
        <v>1</v>
      </c>
      <c r="K422" t="str">
        <f t="shared" si="6"/>
        <v>Affected</v>
      </c>
      <c r="L422" t="str" cm="1">
        <f t="array" ref="L422">_xlfn.IFS(B422&gt;60,"Older Adult(&gt;60)",B422&gt;35,"Middle-aged Adult(36-60)",B422&gt;18,"Young Adult(19-35)",B422&gt;12,"Adolescent(13-18)",B422&gt;0,"Child(&lt;13)")</f>
        <v>Middle-aged Adult(36-60)</v>
      </c>
    </row>
    <row r="423" spans="1:12">
      <c r="A423" t="s">
        <v>10</v>
      </c>
      <c r="B423">
        <v>46</v>
      </c>
      <c r="C423">
        <v>1</v>
      </c>
      <c r="D423">
        <v>1</v>
      </c>
      <c r="E423">
        <v>0</v>
      </c>
      <c r="F423" t="s">
        <v>33</v>
      </c>
      <c r="G423" t="s">
        <v>17</v>
      </c>
      <c r="H423" t="s">
        <v>19</v>
      </c>
      <c r="I423" t="s">
        <v>14</v>
      </c>
      <c r="J423">
        <v>1</v>
      </c>
      <c r="K423" t="str">
        <f t="shared" si="6"/>
        <v>Affected</v>
      </c>
      <c r="L423" t="str" cm="1">
        <f t="array" ref="L423">_xlfn.IFS(B423&gt;60,"Older Adult(&gt;60)",B423&gt;35,"Middle-aged Adult(36-60)",B423&gt;18,"Young Adult(19-35)",B423&gt;12,"Adolescent(13-18)",B423&gt;0,"Child(&lt;13)")</f>
        <v>Middle-aged Adult(36-60)</v>
      </c>
    </row>
    <row r="424" spans="1:12">
      <c r="A424" t="s">
        <v>10</v>
      </c>
      <c r="B424">
        <v>21</v>
      </c>
      <c r="C424">
        <v>0</v>
      </c>
      <c r="D424">
        <v>0</v>
      </c>
      <c r="E424">
        <v>1</v>
      </c>
      <c r="F424" t="s">
        <v>23</v>
      </c>
      <c r="G424" t="s">
        <v>12</v>
      </c>
      <c r="H424" t="s">
        <v>24</v>
      </c>
      <c r="I424" t="s">
        <v>14</v>
      </c>
      <c r="J424">
        <v>0</v>
      </c>
      <c r="K424" t="str">
        <f t="shared" si="6"/>
        <v>Not Affected</v>
      </c>
      <c r="L424" t="str" cm="1">
        <f t="array" ref="L424">_xlfn.IFS(B424&gt;60,"Older Adult(&gt;60)",B424&gt;35,"Middle-aged Adult(36-60)",B424&gt;18,"Young Adult(19-35)",B424&gt;12,"Adolescent(13-18)",B424&gt;0,"Child(&lt;13)")</f>
        <v>Young Adult(19-35)</v>
      </c>
    </row>
    <row r="425" spans="1:12">
      <c r="A425" t="s">
        <v>15</v>
      </c>
      <c r="B425">
        <v>38</v>
      </c>
      <c r="C425">
        <v>0</v>
      </c>
      <c r="D425">
        <v>0</v>
      </c>
      <c r="E425">
        <v>1</v>
      </c>
      <c r="F425" t="s">
        <v>39</v>
      </c>
      <c r="G425" t="s">
        <v>17</v>
      </c>
      <c r="H425" t="s">
        <v>13</v>
      </c>
      <c r="I425" t="s">
        <v>14</v>
      </c>
      <c r="J425">
        <v>0</v>
      </c>
      <c r="K425" t="str">
        <f t="shared" si="6"/>
        <v>Not Affected</v>
      </c>
      <c r="L425" t="str" cm="1">
        <f t="array" ref="L425">_xlfn.IFS(B425&gt;60,"Older Adult(&gt;60)",B425&gt;35,"Middle-aged Adult(36-60)",B425&gt;18,"Young Adult(19-35)",B425&gt;12,"Adolescent(13-18)",B425&gt;0,"Child(&lt;13)")</f>
        <v>Middle-aged Adult(36-60)</v>
      </c>
    </row>
    <row r="426" spans="1:12">
      <c r="A426" t="s">
        <v>15</v>
      </c>
      <c r="B426">
        <v>23</v>
      </c>
      <c r="C426">
        <v>1</v>
      </c>
      <c r="D426">
        <v>1</v>
      </c>
      <c r="E426">
        <v>1</v>
      </c>
      <c r="F426" t="s">
        <v>50</v>
      </c>
      <c r="G426" t="s">
        <v>12</v>
      </c>
      <c r="H426" t="s">
        <v>13</v>
      </c>
      <c r="I426" t="s">
        <v>14</v>
      </c>
      <c r="J426">
        <v>1</v>
      </c>
      <c r="K426" t="str">
        <f t="shared" si="6"/>
        <v>Affected</v>
      </c>
      <c r="L426" t="str" cm="1">
        <f t="array" ref="L426">_xlfn.IFS(B426&gt;60,"Older Adult(&gt;60)",B426&gt;35,"Middle-aged Adult(36-60)",B426&gt;18,"Young Adult(19-35)",B426&gt;12,"Adolescent(13-18)",B426&gt;0,"Child(&lt;13)")</f>
        <v>Young Adult(19-35)</v>
      </c>
    </row>
    <row r="427" spans="1:12">
      <c r="A427" t="s">
        <v>10</v>
      </c>
      <c r="B427">
        <v>15</v>
      </c>
      <c r="C427">
        <v>0</v>
      </c>
      <c r="D427">
        <v>0</v>
      </c>
      <c r="E427">
        <v>0</v>
      </c>
      <c r="F427" t="s">
        <v>11</v>
      </c>
      <c r="G427" t="s">
        <v>17</v>
      </c>
      <c r="H427" t="s">
        <v>19</v>
      </c>
      <c r="I427" t="s">
        <v>14</v>
      </c>
      <c r="J427">
        <v>0</v>
      </c>
      <c r="K427" t="str">
        <f t="shared" si="6"/>
        <v>Not Affected</v>
      </c>
      <c r="L427" t="str" cm="1">
        <f t="array" ref="L427">_xlfn.IFS(B427&gt;60,"Older Adult(&gt;60)",B427&gt;35,"Middle-aged Adult(36-60)",B427&gt;18,"Young Adult(19-35)",B427&gt;12,"Adolescent(13-18)",B427&gt;0,"Child(&lt;13)")</f>
        <v>Adolescent(13-18)</v>
      </c>
    </row>
    <row r="428" spans="1:12">
      <c r="A428" t="s">
        <v>10</v>
      </c>
      <c r="B428">
        <v>21</v>
      </c>
      <c r="C428">
        <v>0</v>
      </c>
      <c r="D428">
        <v>0</v>
      </c>
      <c r="E428">
        <v>0</v>
      </c>
      <c r="F428" t="s">
        <v>32</v>
      </c>
      <c r="G428" t="s">
        <v>12</v>
      </c>
      <c r="H428" t="s">
        <v>19</v>
      </c>
      <c r="I428" t="s">
        <v>14</v>
      </c>
      <c r="J428">
        <v>0</v>
      </c>
      <c r="K428" t="str">
        <f t="shared" si="6"/>
        <v>Not Affected</v>
      </c>
      <c r="L428" t="str" cm="1">
        <f t="array" ref="L428">_xlfn.IFS(B428&gt;60,"Older Adult(&gt;60)",B428&gt;35,"Middle-aged Adult(36-60)",B428&gt;18,"Young Adult(19-35)",B428&gt;12,"Adolescent(13-18)",B428&gt;0,"Child(&lt;13)")</f>
        <v>Young Adult(19-35)</v>
      </c>
    </row>
    <row r="429" spans="1:12">
      <c r="A429" t="s">
        <v>10</v>
      </c>
      <c r="B429">
        <v>31</v>
      </c>
      <c r="C429">
        <v>0</v>
      </c>
      <c r="D429">
        <v>0</v>
      </c>
      <c r="E429">
        <v>0</v>
      </c>
      <c r="F429" t="s">
        <v>29</v>
      </c>
      <c r="G429" t="s">
        <v>17</v>
      </c>
      <c r="H429" t="s">
        <v>19</v>
      </c>
      <c r="I429" t="s">
        <v>14</v>
      </c>
      <c r="J429">
        <v>0</v>
      </c>
      <c r="K429" t="str">
        <f t="shared" si="6"/>
        <v>Not Affected</v>
      </c>
      <c r="L429" t="str" cm="1">
        <f t="array" ref="L429">_xlfn.IFS(B429&gt;60,"Older Adult(&gt;60)",B429&gt;35,"Middle-aged Adult(36-60)",B429&gt;18,"Young Adult(19-35)",B429&gt;12,"Adolescent(13-18)",B429&gt;0,"Child(&lt;13)")</f>
        <v>Young Adult(19-35)</v>
      </c>
    </row>
    <row r="430" spans="1:12">
      <c r="A430" t="s">
        <v>10</v>
      </c>
      <c r="B430">
        <v>43</v>
      </c>
      <c r="C430">
        <v>1</v>
      </c>
      <c r="D430">
        <v>1</v>
      </c>
      <c r="E430">
        <v>0</v>
      </c>
      <c r="F430" t="s">
        <v>41</v>
      </c>
      <c r="G430" t="s">
        <v>12</v>
      </c>
      <c r="H430" t="s">
        <v>24</v>
      </c>
      <c r="I430" t="s">
        <v>14</v>
      </c>
      <c r="J430">
        <v>1</v>
      </c>
      <c r="K430" t="str">
        <f t="shared" si="6"/>
        <v>Affected</v>
      </c>
      <c r="L430" t="str" cm="1">
        <f t="array" ref="L430">_xlfn.IFS(B430&gt;60,"Older Adult(&gt;60)",B430&gt;35,"Middle-aged Adult(36-60)",B430&gt;18,"Young Adult(19-35)",B430&gt;12,"Adolescent(13-18)",B430&gt;0,"Child(&lt;13)")</f>
        <v>Middle-aged Adult(36-60)</v>
      </c>
    </row>
    <row r="431" spans="1:12">
      <c r="A431" t="s">
        <v>15</v>
      </c>
      <c r="B431">
        <v>29</v>
      </c>
      <c r="C431">
        <v>1</v>
      </c>
      <c r="D431">
        <v>1</v>
      </c>
      <c r="E431">
        <v>0</v>
      </c>
      <c r="F431" t="s">
        <v>38</v>
      </c>
      <c r="G431" t="s">
        <v>17</v>
      </c>
      <c r="H431" t="s">
        <v>24</v>
      </c>
      <c r="I431" t="s">
        <v>14</v>
      </c>
      <c r="J431">
        <v>1</v>
      </c>
      <c r="K431" t="str">
        <f t="shared" si="6"/>
        <v>Affected</v>
      </c>
      <c r="L431" t="str" cm="1">
        <f t="array" ref="L431">_xlfn.IFS(B431&gt;60,"Older Adult(&gt;60)",B431&gt;35,"Middle-aged Adult(36-60)",B431&gt;18,"Young Adult(19-35)",B431&gt;12,"Adolescent(13-18)",B431&gt;0,"Child(&lt;13)")</f>
        <v>Young Adult(19-35)</v>
      </c>
    </row>
    <row r="432" spans="1:12">
      <c r="A432" t="s">
        <v>10</v>
      </c>
      <c r="B432">
        <v>58</v>
      </c>
      <c r="C432">
        <v>0</v>
      </c>
      <c r="D432">
        <v>0</v>
      </c>
      <c r="E432">
        <v>1</v>
      </c>
      <c r="F432" t="s">
        <v>37</v>
      </c>
      <c r="G432" t="s">
        <v>12</v>
      </c>
      <c r="H432" t="s">
        <v>13</v>
      </c>
      <c r="I432" t="s">
        <v>14</v>
      </c>
      <c r="J432">
        <v>0</v>
      </c>
      <c r="K432" t="str">
        <f t="shared" si="6"/>
        <v>Not Affected</v>
      </c>
      <c r="L432" t="str" cm="1">
        <f t="array" ref="L432">_xlfn.IFS(B432&gt;60,"Older Adult(&gt;60)",B432&gt;35,"Middle-aged Adult(36-60)",B432&gt;18,"Young Adult(19-35)",B432&gt;12,"Adolescent(13-18)",B432&gt;0,"Child(&lt;13)")</f>
        <v>Middle-aged Adult(36-60)</v>
      </c>
    </row>
    <row r="433" spans="1:12">
      <c r="A433" t="s">
        <v>15</v>
      </c>
      <c r="B433">
        <v>27</v>
      </c>
      <c r="C433">
        <v>1</v>
      </c>
      <c r="D433">
        <v>1</v>
      </c>
      <c r="E433">
        <v>0</v>
      </c>
      <c r="F433" t="s">
        <v>47</v>
      </c>
      <c r="G433" t="s">
        <v>17</v>
      </c>
      <c r="H433" t="s">
        <v>13</v>
      </c>
      <c r="I433" t="s">
        <v>14</v>
      </c>
      <c r="J433">
        <v>1</v>
      </c>
      <c r="K433" t="str">
        <f t="shared" si="6"/>
        <v>Affected</v>
      </c>
      <c r="L433" t="str" cm="1">
        <f t="array" ref="L433">_xlfn.IFS(B433&gt;60,"Older Adult(&gt;60)",B433&gt;35,"Middle-aged Adult(36-60)",B433&gt;18,"Young Adult(19-35)",B433&gt;12,"Adolescent(13-18)",B433&gt;0,"Child(&lt;13)")</f>
        <v>Young Adult(19-35)</v>
      </c>
    </row>
    <row r="434" spans="1:12">
      <c r="A434" t="s">
        <v>15</v>
      </c>
      <c r="B434">
        <v>49</v>
      </c>
      <c r="C434">
        <v>0</v>
      </c>
      <c r="D434">
        <v>0</v>
      </c>
      <c r="E434">
        <v>0</v>
      </c>
      <c r="F434" t="s">
        <v>23</v>
      </c>
      <c r="G434" t="s">
        <v>12</v>
      </c>
      <c r="H434" t="s">
        <v>13</v>
      </c>
      <c r="I434" t="s">
        <v>14</v>
      </c>
      <c r="J434">
        <v>0</v>
      </c>
      <c r="K434" t="str">
        <f t="shared" si="6"/>
        <v>Not Affected</v>
      </c>
      <c r="L434" t="str" cm="1">
        <f t="array" ref="L434">_xlfn.IFS(B434&gt;60,"Older Adult(&gt;60)",B434&gt;35,"Middle-aged Adult(36-60)",B434&gt;18,"Young Adult(19-35)",B434&gt;12,"Adolescent(13-18)",B434&gt;0,"Child(&lt;13)")</f>
        <v>Middle-aged Adult(36-60)</v>
      </c>
    </row>
    <row r="435" spans="1:12">
      <c r="A435" t="s">
        <v>15</v>
      </c>
      <c r="B435">
        <v>43</v>
      </c>
      <c r="C435">
        <v>1</v>
      </c>
      <c r="D435">
        <v>1</v>
      </c>
      <c r="E435">
        <v>1</v>
      </c>
      <c r="F435" t="s">
        <v>29</v>
      </c>
      <c r="G435" t="s">
        <v>17</v>
      </c>
      <c r="H435" t="s">
        <v>13</v>
      </c>
      <c r="I435" t="s">
        <v>14</v>
      </c>
      <c r="J435">
        <v>1</v>
      </c>
      <c r="K435" t="str">
        <f t="shared" si="6"/>
        <v>Affected</v>
      </c>
      <c r="L435" t="str" cm="1">
        <f t="array" ref="L435">_xlfn.IFS(B435&gt;60,"Older Adult(&gt;60)",B435&gt;35,"Middle-aged Adult(36-60)",B435&gt;18,"Young Adult(19-35)",B435&gt;12,"Adolescent(13-18)",B435&gt;0,"Child(&lt;13)")</f>
        <v>Middle-aged Adult(36-60)</v>
      </c>
    </row>
    <row r="436" spans="1:12">
      <c r="A436" t="s">
        <v>15</v>
      </c>
      <c r="B436">
        <v>42</v>
      </c>
      <c r="C436">
        <v>1</v>
      </c>
      <c r="D436">
        <v>1</v>
      </c>
      <c r="E436">
        <v>0</v>
      </c>
      <c r="F436" t="s">
        <v>51</v>
      </c>
      <c r="G436" t="s">
        <v>12</v>
      </c>
      <c r="H436" t="s">
        <v>19</v>
      </c>
      <c r="I436" t="s">
        <v>14</v>
      </c>
      <c r="J436">
        <v>1</v>
      </c>
      <c r="K436" t="str">
        <f t="shared" si="6"/>
        <v>Affected</v>
      </c>
      <c r="L436" t="str" cm="1">
        <f t="array" ref="L436">_xlfn.IFS(B436&gt;60,"Older Adult(&gt;60)",B436&gt;35,"Middle-aged Adult(36-60)",B436&gt;18,"Young Adult(19-35)",B436&gt;12,"Adolescent(13-18)",B436&gt;0,"Child(&lt;13)")</f>
        <v>Middle-aged Adult(36-60)</v>
      </c>
    </row>
    <row r="437" spans="1:12">
      <c r="A437" t="s">
        <v>10</v>
      </c>
      <c r="B437">
        <v>18</v>
      </c>
      <c r="C437">
        <v>1</v>
      </c>
      <c r="D437">
        <v>1</v>
      </c>
      <c r="E437">
        <v>0</v>
      </c>
      <c r="F437" t="s">
        <v>48</v>
      </c>
      <c r="G437" t="s">
        <v>17</v>
      </c>
      <c r="H437" t="s">
        <v>13</v>
      </c>
      <c r="I437" t="s">
        <v>14</v>
      </c>
      <c r="J437">
        <v>1</v>
      </c>
      <c r="K437" t="str">
        <f t="shared" si="6"/>
        <v>Affected</v>
      </c>
      <c r="L437" t="str" cm="1">
        <f t="array" ref="L437">_xlfn.IFS(B437&gt;60,"Older Adult(&gt;60)",B437&gt;35,"Middle-aged Adult(36-60)",B437&gt;18,"Young Adult(19-35)",B437&gt;12,"Adolescent(13-18)",B437&gt;0,"Child(&lt;13)")</f>
        <v>Adolescent(13-18)</v>
      </c>
    </row>
    <row r="438" spans="1:12">
      <c r="A438" t="s">
        <v>15</v>
      </c>
      <c r="B438">
        <v>15</v>
      </c>
      <c r="C438">
        <v>1</v>
      </c>
      <c r="D438">
        <v>1</v>
      </c>
      <c r="E438">
        <v>0</v>
      </c>
      <c r="F438" t="s">
        <v>53</v>
      </c>
      <c r="G438" t="s">
        <v>12</v>
      </c>
      <c r="H438" t="s">
        <v>24</v>
      </c>
      <c r="I438" t="s">
        <v>14</v>
      </c>
      <c r="J438">
        <v>1</v>
      </c>
      <c r="K438" t="str">
        <f t="shared" si="6"/>
        <v>Affected</v>
      </c>
      <c r="L438" t="str" cm="1">
        <f t="array" ref="L438">_xlfn.IFS(B438&gt;60,"Older Adult(&gt;60)",B438&gt;35,"Middle-aged Adult(36-60)",B438&gt;18,"Young Adult(19-35)",B438&gt;12,"Adolescent(13-18)",B438&gt;0,"Child(&lt;13)")</f>
        <v>Adolescent(13-18)</v>
      </c>
    </row>
    <row r="439" spans="1:12">
      <c r="A439" t="s">
        <v>15</v>
      </c>
      <c r="B439">
        <v>22</v>
      </c>
      <c r="C439">
        <v>1</v>
      </c>
      <c r="D439">
        <v>1</v>
      </c>
      <c r="E439">
        <v>0</v>
      </c>
      <c r="F439" t="s">
        <v>29</v>
      </c>
      <c r="G439" t="s">
        <v>17</v>
      </c>
      <c r="H439" t="s">
        <v>13</v>
      </c>
      <c r="I439" t="s">
        <v>14</v>
      </c>
      <c r="J439">
        <v>1</v>
      </c>
      <c r="K439" t="str">
        <f t="shared" si="6"/>
        <v>Affected</v>
      </c>
      <c r="L439" t="str" cm="1">
        <f t="array" ref="L439">_xlfn.IFS(B439&gt;60,"Older Adult(&gt;60)",B439&gt;35,"Middle-aged Adult(36-60)",B439&gt;18,"Young Adult(19-35)",B439&gt;12,"Adolescent(13-18)",B439&gt;0,"Child(&lt;13)")</f>
        <v>Young Adult(19-35)</v>
      </c>
    </row>
    <row r="440" spans="1:12">
      <c r="A440" t="s">
        <v>15</v>
      </c>
      <c r="B440">
        <v>31</v>
      </c>
      <c r="C440">
        <v>1</v>
      </c>
      <c r="D440">
        <v>1</v>
      </c>
      <c r="E440">
        <v>0</v>
      </c>
      <c r="F440" t="s">
        <v>38</v>
      </c>
      <c r="G440" t="s">
        <v>12</v>
      </c>
      <c r="H440" t="s">
        <v>24</v>
      </c>
      <c r="I440" t="s">
        <v>14</v>
      </c>
      <c r="J440">
        <v>1</v>
      </c>
      <c r="K440" t="str">
        <f t="shared" si="6"/>
        <v>Affected</v>
      </c>
      <c r="L440" t="str" cm="1">
        <f t="array" ref="L440">_xlfn.IFS(B440&gt;60,"Older Adult(&gt;60)",B440&gt;35,"Middle-aged Adult(36-60)",B440&gt;18,"Young Adult(19-35)",B440&gt;12,"Adolescent(13-18)",B440&gt;0,"Child(&lt;13)")</f>
        <v>Young Adult(19-35)</v>
      </c>
    </row>
    <row r="441" spans="1:12">
      <c r="A441" t="s">
        <v>10</v>
      </c>
      <c r="B441">
        <v>26</v>
      </c>
      <c r="C441">
        <v>0</v>
      </c>
      <c r="D441">
        <v>0</v>
      </c>
      <c r="E441">
        <v>1</v>
      </c>
      <c r="F441" t="s">
        <v>34</v>
      </c>
      <c r="G441" t="s">
        <v>17</v>
      </c>
      <c r="H441" t="s">
        <v>13</v>
      </c>
      <c r="I441" t="s">
        <v>14</v>
      </c>
      <c r="J441">
        <v>0</v>
      </c>
      <c r="K441" t="str">
        <f t="shared" si="6"/>
        <v>Not Affected</v>
      </c>
      <c r="L441" t="str" cm="1">
        <f t="array" ref="L441">_xlfn.IFS(B441&gt;60,"Older Adult(&gt;60)",B441&gt;35,"Middle-aged Adult(36-60)",B441&gt;18,"Young Adult(19-35)",B441&gt;12,"Adolescent(13-18)",B441&gt;0,"Child(&lt;13)")</f>
        <v>Young Adult(19-35)</v>
      </c>
    </row>
    <row r="442" spans="1:12">
      <c r="A442" t="s">
        <v>15</v>
      </c>
      <c r="B442">
        <v>11</v>
      </c>
      <c r="C442">
        <v>1</v>
      </c>
      <c r="D442">
        <v>1</v>
      </c>
      <c r="E442">
        <v>1</v>
      </c>
      <c r="F442" t="s">
        <v>11</v>
      </c>
      <c r="G442" t="s">
        <v>12</v>
      </c>
      <c r="H442" t="s">
        <v>24</v>
      </c>
      <c r="I442" t="s">
        <v>14</v>
      </c>
      <c r="J442">
        <v>1</v>
      </c>
      <c r="K442" t="str">
        <f t="shared" si="6"/>
        <v>Affected</v>
      </c>
      <c r="L442" t="str" cm="1">
        <f t="array" ref="L442">_xlfn.IFS(B442&gt;60,"Older Adult(&gt;60)",B442&gt;35,"Middle-aged Adult(36-60)",B442&gt;18,"Young Adult(19-35)",B442&gt;12,"Adolescent(13-18)",B442&gt;0,"Child(&lt;13)")</f>
        <v>Child(&lt;13)</v>
      </c>
    </row>
    <row r="443" spans="1:12">
      <c r="A443" t="s">
        <v>15</v>
      </c>
      <c r="B443">
        <v>47</v>
      </c>
      <c r="C443">
        <v>1</v>
      </c>
      <c r="D443">
        <v>1</v>
      </c>
      <c r="E443">
        <v>1</v>
      </c>
      <c r="F443" t="s">
        <v>11</v>
      </c>
      <c r="G443" t="s">
        <v>17</v>
      </c>
      <c r="H443" t="s">
        <v>24</v>
      </c>
      <c r="I443" t="s">
        <v>14</v>
      </c>
      <c r="J443">
        <v>1</v>
      </c>
      <c r="K443" t="str">
        <f t="shared" si="6"/>
        <v>Affected</v>
      </c>
      <c r="L443" t="str" cm="1">
        <f t="array" ref="L443">_xlfn.IFS(B443&gt;60,"Older Adult(&gt;60)",B443&gt;35,"Middle-aged Adult(36-60)",B443&gt;18,"Young Adult(19-35)",B443&gt;12,"Adolescent(13-18)",B443&gt;0,"Child(&lt;13)")</f>
        <v>Middle-aged Adult(36-60)</v>
      </c>
    </row>
    <row r="444" spans="1:12">
      <c r="A444" t="s">
        <v>10</v>
      </c>
      <c r="B444">
        <v>20</v>
      </c>
      <c r="C444">
        <v>0</v>
      </c>
      <c r="D444">
        <v>0</v>
      </c>
      <c r="E444">
        <v>1</v>
      </c>
      <c r="F444" t="s">
        <v>41</v>
      </c>
      <c r="G444" t="s">
        <v>12</v>
      </c>
      <c r="H444" t="s">
        <v>13</v>
      </c>
      <c r="I444" t="s">
        <v>14</v>
      </c>
      <c r="J444">
        <v>0</v>
      </c>
      <c r="K444" t="str">
        <f t="shared" si="6"/>
        <v>Not Affected</v>
      </c>
      <c r="L444" t="str" cm="1">
        <f t="array" ref="L444">_xlfn.IFS(B444&gt;60,"Older Adult(&gt;60)",B444&gt;35,"Middle-aged Adult(36-60)",B444&gt;18,"Young Adult(19-35)",B444&gt;12,"Adolescent(13-18)",B444&gt;0,"Child(&lt;13)")</f>
        <v>Young Adult(19-35)</v>
      </c>
    </row>
    <row r="445" spans="1:12">
      <c r="A445" t="s">
        <v>15</v>
      </c>
      <c r="B445">
        <v>58</v>
      </c>
      <c r="C445">
        <v>0</v>
      </c>
      <c r="D445">
        <v>0</v>
      </c>
      <c r="E445">
        <v>1</v>
      </c>
      <c r="F445" t="s">
        <v>45</v>
      </c>
      <c r="G445" t="s">
        <v>17</v>
      </c>
      <c r="H445" t="s">
        <v>13</v>
      </c>
      <c r="I445" t="s">
        <v>14</v>
      </c>
      <c r="J445">
        <v>0</v>
      </c>
      <c r="K445" t="str">
        <f t="shared" si="6"/>
        <v>Not Affected</v>
      </c>
      <c r="L445" t="str" cm="1">
        <f t="array" ref="L445">_xlfn.IFS(B445&gt;60,"Older Adult(&gt;60)",B445&gt;35,"Middle-aged Adult(36-60)",B445&gt;18,"Young Adult(19-35)",B445&gt;12,"Adolescent(13-18)",B445&gt;0,"Child(&lt;13)")</f>
        <v>Middle-aged Adult(36-60)</v>
      </c>
    </row>
    <row r="446" spans="1:12">
      <c r="A446" t="s">
        <v>15</v>
      </c>
      <c r="B446">
        <v>62</v>
      </c>
      <c r="C446">
        <v>1</v>
      </c>
      <c r="D446">
        <v>1</v>
      </c>
      <c r="E446">
        <v>0</v>
      </c>
      <c r="F446" t="s">
        <v>45</v>
      </c>
      <c r="G446" t="s">
        <v>12</v>
      </c>
      <c r="H446" t="s">
        <v>19</v>
      </c>
      <c r="I446" t="s">
        <v>14</v>
      </c>
      <c r="J446">
        <v>1</v>
      </c>
      <c r="K446" t="str">
        <f t="shared" si="6"/>
        <v>Affected</v>
      </c>
      <c r="L446" t="str" cm="1">
        <f t="array" ref="L446">_xlfn.IFS(B446&gt;60,"Older Adult(&gt;60)",B446&gt;35,"Middle-aged Adult(36-60)",B446&gt;18,"Young Adult(19-35)",B446&gt;12,"Adolescent(13-18)",B446&gt;0,"Child(&lt;13)")</f>
        <v>Older Adult(&gt;60)</v>
      </c>
    </row>
    <row r="447" spans="1:12">
      <c r="A447" t="s">
        <v>10</v>
      </c>
      <c r="B447">
        <v>27</v>
      </c>
      <c r="C447">
        <v>0</v>
      </c>
      <c r="D447">
        <v>0</v>
      </c>
      <c r="E447">
        <v>1</v>
      </c>
      <c r="F447" t="s">
        <v>38</v>
      </c>
      <c r="G447" t="s">
        <v>17</v>
      </c>
      <c r="H447" t="s">
        <v>19</v>
      </c>
      <c r="I447" t="s">
        <v>14</v>
      </c>
      <c r="J447">
        <v>0</v>
      </c>
      <c r="K447" t="str">
        <f t="shared" si="6"/>
        <v>Not Affected</v>
      </c>
      <c r="L447" t="str" cm="1">
        <f t="array" ref="L447">_xlfn.IFS(B447&gt;60,"Older Adult(&gt;60)",B447&gt;35,"Middle-aged Adult(36-60)",B447&gt;18,"Young Adult(19-35)",B447&gt;12,"Adolescent(13-18)",B447&gt;0,"Child(&lt;13)")</f>
        <v>Young Adult(19-35)</v>
      </c>
    </row>
    <row r="448" spans="1:12">
      <c r="A448" t="s">
        <v>10</v>
      </c>
      <c r="B448">
        <v>49</v>
      </c>
      <c r="C448">
        <v>1</v>
      </c>
      <c r="D448">
        <v>1</v>
      </c>
      <c r="E448">
        <v>1</v>
      </c>
      <c r="F448" t="s">
        <v>47</v>
      </c>
      <c r="G448" t="s">
        <v>12</v>
      </c>
      <c r="H448" t="s">
        <v>24</v>
      </c>
      <c r="I448" t="s">
        <v>14</v>
      </c>
      <c r="J448">
        <v>1</v>
      </c>
      <c r="K448" t="str">
        <f t="shared" si="6"/>
        <v>Affected</v>
      </c>
      <c r="L448" t="str" cm="1">
        <f t="array" ref="L448">_xlfn.IFS(B448&gt;60,"Older Adult(&gt;60)",B448&gt;35,"Middle-aged Adult(36-60)",B448&gt;18,"Young Adult(19-35)",B448&gt;12,"Adolescent(13-18)",B448&gt;0,"Child(&lt;13)")</f>
        <v>Middle-aged Adult(36-60)</v>
      </c>
    </row>
    <row r="449" spans="1:12">
      <c r="A449" t="s">
        <v>10</v>
      </c>
      <c r="B449">
        <v>30</v>
      </c>
      <c r="C449">
        <v>1</v>
      </c>
      <c r="D449">
        <v>1</v>
      </c>
      <c r="E449">
        <v>0</v>
      </c>
      <c r="F449" t="s">
        <v>42</v>
      </c>
      <c r="G449" t="s">
        <v>17</v>
      </c>
      <c r="H449" t="s">
        <v>19</v>
      </c>
      <c r="I449" t="s">
        <v>14</v>
      </c>
      <c r="J449">
        <v>1</v>
      </c>
      <c r="K449" t="str">
        <f t="shared" si="6"/>
        <v>Affected</v>
      </c>
      <c r="L449" t="str" cm="1">
        <f t="array" ref="L449">_xlfn.IFS(B449&gt;60,"Older Adult(&gt;60)",B449&gt;35,"Middle-aged Adult(36-60)",B449&gt;18,"Young Adult(19-35)",B449&gt;12,"Adolescent(13-18)",B449&gt;0,"Child(&lt;13)")</f>
        <v>Young Adult(19-35)</v>
      </c>
    </row>
    <row r="450" spans="1:12">
      <c r="A450" t="s">
        <v>15</v>
      </c>
      <c r="B450">
        <v>61</v>
      </c>
      <c r="C450">
        <v>1</v>
      </c>
      <c r="D450">
        <v>1</v>
      </c>
      <c r="E450">
        <v>1</v>
      </c>
      <c r="F450" t="s">
        <v>21</v>
      </c>
      <c r="G450" t="s">
        <v>12</v>
      </c>
      <c r="H450" t="s">
        <v>19</v>
      </c>
      <c r="I450" t="s">
        <v>14</v>
      </c>
      <c r="J450">
        <v>1</v>
      </c>
      <c r="K450" t="str">
        <f t="shared" si="6"/>
        <v>Affected</v>
      </c>
      <c r="L450" t="str" cm="1">
        <f t="array" ref="L450">_xlfn.IFS(B450&gt;60,"Older Adult(&gt;60)",B450&gt;35,"Middle-aged Adult(36-60)",B450&gt;18,"Young Adult(19-35)",B450&gt;12,"Adolescent(13-18)",B450&gt;0,"Child(&lt;13)")</f>
        <v>Older Adult(&gt;60)</v>
      </c>
    </row>
    <row r="451" spans="1:12">
      <c r="A451" t="s">
        <v>10</v>
      </c>
      <c r="B451">
        <v>31</v>
      </c>
      <c r="C451">
        <v>1</v>
      </c>
      <c r="D451">
        <v>1</v>
      </c>
      <c r="E451">
        <v>1</v>
      </c>
      <c r="F451" t="s">
        <v>46</v>
      </c>
      <c r="G451" t="s">
        <v>17</v>
      </c>
      <c r="H451" t="s">
        <v>13</v>
      </c>
      <c r="I451" t="s">
        <v>14</v>
      </c>
      <c r="J451">
        <v>1</v>
      </c>
      <c r="K451" t="str">
        <f t="shared" ref="K451:K514" si="7">IF(J451=0, "Not Affected", "Affected")</f>
        <v>Affected</v>
      </c>
      <c r="L451" t="str" cm="1">
        <f t="array" ref="L451">_xlfn.IFS(B451&gt;60,"Older Adult(&gt;60)",B451&gt;35,"Middle-aged Adult(36-60)",B451&gt;18,"Young Adult(19-35)",B451&gt;12,"Adolescent(13-18)",B451&gt;0,"Child(&lt;13)")</f>
        <v>Young Adult(19-35)</v>
      </c>
    </row>
    <row r="452" spans="1:12">
      <c r="A452" t="s">
        <v>10</v>
      </c>
      <c r="B452">
        <v>64</v>
      </c>
      <c r="C452">
        <v>0</v>
      </c>
      <c r="D452">
        <v>0</v>
      </c>
      <c r="E452">
        <v>1</v>
      </c>
      <c r="F452" t="s">
        <v>20</v>
      </c>
      <c r="G452" t="s">
        <v>12</v>
      </c>
      <c r="H452" t="s">
        <v>19</v>
      </c>
      <c r="I452" t="s">
        <v>14</v>
      </c>
      <c r="J452">
        <v>0</v>
      </c>
      <c r="K452" t="str">
        <f t="shared" si="7"/>
        <v>Not Affected</v>
      </c>
      <c r="L452" t="str" cm="1">
        <f t="array" ref="L452">_xlfn.IFS(B452&gt;60,"Older Adult(&gt;60)",B452&gt;35,"Middle-aged Adult(36-60)",B452&gt;18,"Young Adult(19-35)",B452&gt;12,"Adolescent(13-18)",B452&gt;0,"Child(&lt;13)")</f>
        <v>Older Adult(&gt;60)</v>
      </c>
    </row>
    <row r="453" spans="1:12">
      <c r="A453" t="s">
        <v>10</v>
      </c>
      <c r="B453">
        <v>37</v>
      </c>
      <c r="C453">
        <v>0</v>
      </c>
      <c r="D453">
        <v>0</v>
      </c>
      <c r="E453">
        <v>1</v>
      </c>
      <c r="F453" t="s">
        <v>26</v>
      </c>
      <c r="G453" t="s">
        <v>17</v>
      </c>
      <c r="H453" t="s">
        <v>19</v>
      </c>
      <c r="I453" t="s">
        <v>14</v>
      </c>
      <c r="J453">
        <v>0</v>
      </c>
      <c r="K453" t="str">
        <f t="shared" si="7"/>
        <v>Not Affected</v>
      </c>
      <c r="L453" t="str" cm="1">
        <f t="array" ref="L453">_xlfn.IFS(B453&gt;60,"Older Adult(&gt;60)",B453&gt;35,"Middle-aged Adult(36-60)",B453&gt;18,"Young Adult(19-35)",B453&gt;12,"Adolescent(13-18)",B453&gt;0,"Child(&lt;13)")</f>
        <v>Middle-aged Adult(36-60)</v>
      </c>
    </row>
    <row r="454" spans="1:12">
      <c r="A454" t="s">
        <v>15</v>
      </c>
      <c r="B454">
        <v>45</v>
      </c>
      <c r="C454">
        <v>1</v>
      </c>
      <c r="D454">
        <v>1</v>
      </c>
      <c r="E454">
        <v>0</v>
      </c>
      <c r="F454" t="s">
        <v>52</v>
      </c>
      <c r="G454" t="s">
        <v>12</v>
      </c>
      <c r="H454" t="s">
        <v>19</v>
      </c>
      <c r="I454" t="s">
        <v>14</v>
      </c>
      <c r="J454">
        <v>1</v>
      </c>
      <c r="K454" t="str">
        <f t="shared" si="7"/>
        <v>Affected</v>
      </c>
      <c r="L454" t="str" cm="1">
        <f t="array" ref="L454">_xlfn.IFS(B454&gt;60,"Older Adult(&gt;60)",B454&gt;35,"Middle-aged Adult(36-60)",B454&gt;18,"Young Adult(19-35)",B454&gt;12,"Adolescent(13-18)",B454&gt;0,"Child(&lt;13)")</f>
        <v>Middle-aged Adult(36-60)</v>
      </c>
    </row>
    <row r="455" spans="1:12">
      <c r="A455" t="s">
        <v>15</v>
      </c>
      <c r="B455">
        <v>47</v>
      </c>
      <c r="C455">
        <v>1</v>
      </c>
      <c r="D455">
        <v>1</v>
      </c>
      <c r="E455">
        <v>0</v>
      </c>
      <c r="F455" t="s">
        <v>49</v>
      </c>
      <c r="G455" t="s">
        <v>17</v>
      </c>
      <c r="H455" t="s">
        <v>19</v>
      </c>
      <c r="I455" t="s">
        <v>14</v>
      </c>
      <c r="J455">
        <v>1</v>
      </c>
      <c r="K455" t="str">
        <f t="shared" si="7"/>
        <v>Affected</v>
      </c>
      <c r="L455" t="str" cm="1">
        <f t="array" ref="L455">_xlfn.IFS(B455&gt;60,"Older Adult(&gt;60)",B455&gt;35,"Middle-aged Adult(36-60)",B455&gt;18,"Young Adult(19-35)",B455&gt;12,"Adolescent(13-18)",B455&gt;0,"Child(&lt;13)")</f>
        <v>Middle-aged Adult(36-60)</v>
      </c>
    </row>
    <row r="456" spans="1:12">
      <c r="A456" t="s">
        <v>10</v>
      </c>
      <c r="B456">
        <v>34</v>
      </c>
      <c r="C456">
        <v>0</v>
      </c>
      <c r="D456">
        <v>0</v>
      </c>
      <c r="E456">
        <v>0</v>
      </c>
      <c r="F456" t="s">
        <v>39</v>
      </c>
      <c r="G456" t="s">
        <v>12</v>
      </c>
      <c r="H456" t="s">
        <v>24</v>
      </c>
      <c r="I456" t="s">
        <v>14</v>
      </c>
      <c r="J456">
        <v>0</v>
      </c>
      <c r="K456" t="str">
        <f t="shared" si="7"/>
        <v>Not Affected</v>
      </c>
      <c r="L456" t="str" cm="1">
        <f t="array" ref="L456">_xlfn.IFS(B456&gt;60,"Older Adult(&gt;60)",B456&gt;35,"Middle-aged Adult(36-60)",B456&gt;18,"Young Adult(19-35)",B456&gt;12,"Adolescent(13-18)",B456&gt;0,"Child(&lt;13)")</f>
        <v>Young Adult(19-35)</v>
      </c>
    </row>
    <row r="457" spans="1:12">
      <c r="A457" t="s">
        <v>15</v>
      </c>
      <c r="B457">
        <v>37</v>
      </c>
      <c r="C457">
        <v>1</v>
      </c>
      <c r="D457">
        <v>1</v>
      </c>
      <c r="E457">
        <v>1</v>
      </c>
      <c r="F457" t="s">
        <v>51</v>
      </c>
      <c r="G457" t="s">
        <v>17</v>
      </c>
      <c r="H457" t="s">
        <v>19</v>
      </c>
      <c r="I457" t="s">
        <v>14</v>
      </c>
      <c r="J457">
        <v>1</v>
      </c>
      <c r="K457" t="str">
        <f t="shared" si="7"/>
        <v>Affected</v>
      </c>
      <c r="L457" t="str" cm="1">
        <f t="array" ref="L457">_xlfn.IFS(B457&gt;60,"Older Adult(&gt;60)",B457&gt;35,"Middle-aged Adult(36-60)",B457&gt;18,"Young Adult(19-35)",B457&gt;12,"Adolescent(13-18)",B457&gt;0,"Child(&lt;13)")</f>
        <v>Middle-aged Adult(36-60)</v>
      </c>
    </row>
    <row r="458" spans="1:12">
      <c r="A458" t="s">
        <v>10</v>
      </c>
      <c r="B458">
        <v>17</v>
      </c>
      <c r="C458">
        <v>0</v>
      </c>
      <c r="D458">
        <v>0</v>
      </c>
      <c r="E458">
        <v>0</v>
      </c>
      <c r="F458" t="s">
        <v>25</v>
      </c>
      <c r="G458" t="s">
        <v>12</v>
      </c>
      <c r="H458" t="s">
        <v>13</v>
      </c>
      <c r="I458" t="s">
        <v>14</v>
      </c>
      <c r="J458">
        <v>0</v>
      </c>
      <c r="K458" t="str">
        <f t="shared" si="7"/>
        <v>Not Affected</v>
      </c>
      <c r="L458" t="str" cm="1">
        <f t="array" ref="L458">_xlfn.IFS(B458&gt;60,"Older Adult(&gt;60)",B458&gt;35,"Middle-aged Adult(36-60)",B458&gt;18,"Young Adult(19-35)",B458&gt;12,"Adolescent(13-18)",B458&gt;0,"Child(&lt;13)")</f>
        <v>Adolescent(13-18)</v>
      </c>
    </row>
    <row r="459" spans="1:12">
      <c r="A459" t="s">
        <v>15</v>
      </c>
      <c r="B459">
        <v>38</v>
      </c>
      <c r="C459">
        <v>0</v>
      </c>
      <c r="D459">
        <v>1</v>
      </c>
      <c r="E459">
        <v>0</v>
      </c>
      <c r="F459" t="s">
        <v>28</v>
      </c>
      <c r="G459" t="s">
        <v>17</v>
      </c>
      <c r="H459" t="s">
        <v>13</v>
      </c>
      <c r="I459" t="s">
        <v>14</v>
      </c>
      <c r="J459">
        <v>1</v>
      </c>
      <c r="K459" t="str">
        <f t="shared" si="7"/>
        <v>Affected</v>
      </c>
      <c r="L459" t="str" cm="1">
        <f t="array" ref="L459">_xlfn.IFS(B459&gt;60,"Older Adult(&gt;60)",B459&gt;35,"Middle-aged Adult(36-60)",B459&gt;18,"Young Adult(19-35)",B459&gt;12,"Adolescent(13-18)",B459&gt;0,"Child(&lt;13)")</f>
        <v>Middle-aged Adult(36-60)</v>
      </c>
    </row>
    <row r="460" spans="1:12">
      <c r="A460" t="s">
        <v>10</v>
      </c>
      <c r="B460">
        <v>13</v>
      </c>
      <c r="C460">
        <v>0</v>
      </c>
      <c r="D460">
        <v>0</v>
      </c>
      <c r="E460">
        <v>0</v>
      </c>
      <c r="F460" t="s">
        <v>31</v>
      </c>
      <c r="G460" t="s">
        <v>12</v>
      </c>
      <c r="H460" t="s">
        <v>24</v>
      </c>
      <c r="I460" t="s">
        <v>14</v>
      </c>
      <c r="J460">
        <v>0</v>
      </c>
      <c r="K460" t="str">
        <f t="shared" si="7"/>
        <v>Not Affected</v>
      </c>
      <c r="L460" t="str" cm="1">
        <f t="array" ref="L460">_xlfn.IFS(B460&gt;60,"Older Adult(&gt;60)",B460&gt;35,"Middle-aged Adult(36-60)",B460&gt;18,"Young Adult(19-35)",B460&gt;12,"Adolescent(13-18)",B460&gt;0,"Child(&lt;13)")</f>
        <v>Adolescent(13-18)</v>
      </c>
    </row>
    <row r="461" spans="1:12">
      <c r="A461" t="s">
        <v>10</v>
      </c>
      <c r="B461">
        <v>52</v>
      </c>
      <c r="C461">
        <v>1</v>
      </c>
      <c r="D461">
        <v>1</v>
      </c>
      <c r="E461">
        <v>1</v>
      </c>
      <c r="F461" t="s">
        <v>49</v>
      </c>
      <c r="G461" t="s">
        <v>17</v>
      </c>
      <c r="H461" t="s">
        <v>24</v>
      </c>
      <c r="I461" t="s">
        <v>14</v>
      </c>
      <c r="J461">
        <v>1</v>
      </c>
      <c r="K461" t="str">
        <f t="shared" si="7"/>
        <v>Affected</v>
      </c>
      <c r="L461" t="str" cm="1">
        <f t="array" ref="L461">_xlfn.IFS(B461&gt;60,"Older Adult(&gt;60)",B461&gt;35,"Middle-aged Adult(36-60)",B461&gt;18,"Young Adult(19-35)",B461&gt;12,"Adolescent(13-18)",B461&gt;0,"Child(&lt;13)")</f>
        <v>Middle-aged Adult(36-60)</v>
      </c>
    </row>
    <row r="462" spans="1:12">
      <c r="A462" t="s">
        <v>10</v>
      </c>
      <c r="B462">
        <v>50</v>
      </c>
      <c r="C462">
        <v>0</v>
      </c>
      <c r="D462">
        <v>0</v>
      </c>
      <c r="E462">
        <v>0</v>
      </c>
      <c r="F462" t="s">
        <v>36</v>
      </c>
      <c r="G462" t="s">
        <v>12</v>
      </c>
      <c r="H462" t="s">
        <v>24</v>
      </c>
      <c r="I462" t="s">
        <v>14</v>
      </c>
      <c r="J462">
        <v>0</v>
      </c>
      <c r="K462" t="str">
        <f t="shared" si="7"/>
        <v>Not Affected</v>
      </c>
      <c r="L462" t="str" cm="1">
        <f t="array" ref="L462">_xlfn.IFS(B462&gt;60,"Older Adult(&gt;60)",B462&gt;35,"Middle-aged Adult(36-60)",B462&gt;18,"Young Adult(19-35)",B462&gt;12,"Adolescent(13-18)",B462&gt;0,"Child(&lt;13)")</f>
        <v>Middle-aged Adult(36-60)</v>
      </c>
    </row>
    <row r="463" spans="1:12">
      <c r="A463" t="s">
        <v>15</v>
      </c>
      <c r="B463">
        <v>35</v>
      </c>
      <c r="C463">
        <v>0</v>
      </c>
      <c r="D463">
        <v>0</v>
      </c>
      <c r="E463">
        <v>0</v>
      </c>
      <c r="F463" t="s">
        <v>30</v>
      </c>
      <c r="G463" t="s">
        <v>17</v>
      </c>
      <c r="H463" t="s">
        <v>13</v>
      </c>
      <c r="I463" t="s">
        <v>14</v>
      </c>
      <c r="J463">
        <v>0</v>
      </c>
      <c r="K463" t="str">
        <f t="shared" si="7"/>
        <v>Not Affected</v>
      </c>
      <c r="L463" t="str" cm="1">
        <f t="array" ref="L463">_xlfn.IFS(B463&gt;60,"Older Adult(&gt;60)",B463&gt;35,"Middle-aged Adult(36-60)",B463&gt;18,"Young Adult(19-35)",B463&gt;12,"Adolescent(13-18)",B463&gt;0,"Child(&lt;13)")</f>
        <v>Young Adult(19-35)</v>
      </c>
    </row>
    <row r="464" spans="1:12">
      <c r="A464" t="s">
        <v>15</v>
      </c>
      <c r="B464">
        <v>14</v>
      </c>
      <c r="C464">
        <v>1</v>
      </c>
      <c r="D464">
        <v>1</v>
      </c>
      <c r="E464">
        <v>1</v>
      </c>
      <c r="F464" t="s">
        <v>48</v>
      </c>
      <c r="G464" t="s">
        <v>12</v>
      </c>
      <c r="H464" t="s">
        <v>19</v>
      </c>
      <c r="I464" t="s">
        <v>14</v>
      </c>
      <c r="J464">
        <v>1</v>
      </c>
      <c r="K464" t="str">
        <f t="shared" si="7"/>
        <v>Affected</v>
      </c>
      <c r="L464" t="str" cm="1">
        <f t="array" ref="L464">_xlfn.IFS(B464&gt;60,"Older Adult(&gt;60)",B464&gt;35,"Middle-aged Adult(36-60)",B464&gt;18,"Young Adult(19-35)",B464&gt;12,"Adolescent(13-18)",B464&gt;0,"Child(&lt;13)")</f>
        <v>Adolescent(13-18)</v>
      </c>
    </row>
    <row r="465" spans="1:12">
      <c r="A465" t="s">
        <v>10</v>
      </c>
      <c r="B465">
        <v>31</v>
      </c>
      <c r="C465">
        <v>0</v>
      </c>
      <c r="D465">
        <v>0</v>
      </c>
      <c r="E465">
        <v>1</v>
      </c>
      <c r="F465" t="s">
        <v>27</v>
      </c>
      <c r="G465" t="s">
        <v>17</v>
      </c>
      <c r="H465" t="s">
        <v>13</v>
      </c>
      <c r="I465" t="s">
        <v>14</v>
      </c>
      <c r="J465">
        <v>0</v>
      </c>
      <c r="K465" t="str">
        <f t="shared" si="7"/>
        <v>Not Affected</v>
      </c>
      <c r="L465" t="str" cm="1">
        <f t="array" ref="L465">_xlfn.IFS(B465&gt;60,"Older Adult(&gt;60)",B465&gt;35,"Middle-aged Adult(36-60)",B465&gt;18,"Young Adult(19-35)",B465&gt;12,"Adolescent(13-18)",B465&gt;0,"Child(&lt;13)")</f>
        <v>Young Adult(19-35)</v>
      </c>
    </row>
    <row r="466" spans="1:12">
      <c r="A466" t="s">
        <v>10</v>
      </c>
      <c r="B466">
        <v>23</v>
      </c>
      <c r="C466">
        <v>1</v>
      </c>
      <c r="D466">
        <v>1</v>
      </c>
      <c r="E466">
        <v>0</v>
      </c>
      <c r="F466" t="s">
        <v>31</v>
      </c>
      <c r="G466" t="s">
        <v>12</v>
      </c>
      <c r="H466" t="s">
        <v>24</v>
      </c>
      <c r="I466" t="s">
        <v>14</v>
      </c>
      <c r="J466">
        <v>1</v>
      </c>
      <c r="K466" t="str">
        <f t="shared" si="7"/>
        <v>Affected</v>
      </c>
      <c r="L466" t="str" cm="1">
        <f t="array" ref="L466">_xlfn.IFS(B466&gt;60,"Older Adult(&gt;60)",B466&gt;35,"Middle-aged Adult(36-60)",B466&gt;18,"Young Adult(19-35)",B466&gt;12,"Adolescent(13-18)",B466&gt;0,"Child(&lt;13)")</f>
        <v>Young Adult(19-35)</v>
      </c>
    </row>
    <row r="467" spans="1:12">
      <c r="A467" t="s">
        <v>15</v>
      </c>
      <c r="B467">
        <v>32</v>
      </c>
      <c r="C467">
        <v>0</v>
      </c>
      <c r="D467">
        <v>0</v>
      </c>
      <c r="E467">
        <v>0</v>
      </c>
      <c r="F467" t="s">
        <v>47</v>
      </c>
      <c r="G467" t="s">
        <v>17</v>
      </c>
      <c r="H467" t="s">
        <v>24</v>
      </c>
      <c r="I467" t="s">
        <v>14</v>
      </c>
      <c r="J467">
        <v>0</v>
      </c>
      <c r="K467" t="str">
        <f t="shared" si="7"/>
        <v>Not Affected</v>
      </c>
      <c r="L467" t="str" cm="1">
        <f t="array" ref="L467">_xlfn.IFS(B467&gt;60,"Older Adult(&gt;60)",B467&gt;35,"Middle-aged Adult(36-60)",B467&gt;18,"Young Adult(19-35)",B467&gt;12,"Adolescent(13-18)",B467&gt;0,"Child(&lt;13)")</f>
        <v>Young Adult(19-35)</v>
      </c>
    </row>
    <row r="468" spans="1:12">
      <c r="A468" t="s">
        <v>15</v>
      </c>
      <c r="B468">
        <v>39</v>
      </c>
      <c r="C468">
        <v>1</v>
      </c>
      <c r="D468">
        <v>1</v>
      </c>
      <c r="E468">
        <v>0</v>
      </c>
      <c r="F468" t="s">
        <v>21</v>
      </c>
      <c r="G468" t="s">
        <v>12</v>
      </c>
      <c r="H468" t="s">
        <v>24</v>
      </c>
      <c r="I468" t="s">
        <v>14</v>
      </c>
      <c r="J468">
        <v>1</v>
      </c>
      <c r="K468" t="str">
        <f t="shared" si="7"/>
        <v>Affected</v>
      </c>
      <c r="L468" t="str" cm="1">
        <f t="array" ref="L468">_xlfn.IFS(B468&gt;60,"Older Adult(&gt;60)",B468&gt;35,"Middle-aged Adult(36-60)",B468&gt;18,"Young Adult(19-35)",B468&gt;12,"Adolescent(13-18)",B468&gt;0,"Child(&lt;13)")</f>
        <v>Middle-aged Adult(36-60)</v>
      </c>
    </row>
    <row r="469" spans="1:12">
      <c r="A469" t="s">
        <v>10</v>
      </c>
      <c r="B469">
        <v>53</v>
      </c>
      <c r="C469">
        <v>0</v>
      </c>
      <c r="D469">
        <v>0</v>
      </c>
      <c r="E469">
        <v>0</v>
      </c>
      <c r="F469" t="s">
        <v>45</v>
      </c>
      <c r="G469" t="s">
        <v>17</v>
      </c>
      <c r="H469" t="s">
        <v>13</v>
      </c>
      <c r="I469" t="s">
        <v>14</v>
      </c>
      <c r="J469">
        <v>0</v>
      </c>
      <c r="K469" t="str">
        <f t="shared" si="7"/>
        <v>Not Affected</v>
      </c>
      <c r="L469" t="str" cm="1">
        <f t="array" ref="L469">_xlfn.IFS(B469&gt;60,"Older Adult(&gt;60)",B469&gt;35,"Middle-aged Adult(36-60)",B469&gt;18,"Young Adult(19-35)",B469&gt;12,"Adolescent(13-18)",B469&gt;0,"Child(&lt;13)")</f>
        <v>Middle-aged Adult(36-60)</v>
      </c>
    </row>
    <row r="470" spans="1:12">
      <c r="A470" t="s">
        <v>15</v>
      </c>
      <c r="B470">
        <v>29</v>
      </c>
      <c r="C470">
        <v>0</v>
      </c>
      <c r="D470">
        <v>0</v>
      </c>
      <c r="E470">
        <v>1</v>
      </c>
      <c r="F470" t="s">
        <v>31</v>
      </c>
      <c r="G470" t="s">
        <v>12</v>
      </c>
      <c r="H470" t="s">
        <v>19</v>
      </c>
      <c r="I470" t="s">
        <v>14</v>
      </c>
      <c r="J470">
        <v>0</v>
      </c>
      <c r="K470" t="str">
        <f t="shared" si="7"/>
        <v>Not Affected</v>
      </c>
      <c r="L470" t="str" cm="1">
        <f t="array" ref="L470">_xlfn.IFS(B470&gt;60,"Older Adult(&gt;60)",B470&gt;35,"Middle-aged Adult(36-60)",B470&gt;18,"Young Adult(19-35)",B470&gt;12,"Adolescent(13-18)",B470&gt;0,"Child(&lt;13)")</f>
        <v>Young Adult(19-35)</v>
      </c>
    </row>
    <row r="471" spans="1:12">
      <c r="A471" t="s">
        <v>15</v>
      </c>
      <c r="B471">
        <v>51</v>
      </c>
      <c r="C471">
        <v>1</v>
      </c>
      <c r="D471">
        <v>1</v>
      </c>
      <c r="E471">
        <v>1</v>
      </c>
      <c r="F471" t="s">
        <v>41</v>
      </c>
      <c r="G471" t="s">
        <v>17</v>
      </c>
      <c r="H471" t="s">
        <v>19</v>
      </c>
      <c r="I471" t="s">
        <v>14</v>
      </c>
      <c r="J471">
        <v>1</v>
      </c>
      <c r="K471" t="str">
        <f t="shared" si="7"/>
        <v>Affected</v>
      </c>
      <c r="L471" t="str" cm="1">
        <f t="array" ref="L471">_xlfn.IFS(B471&gt;60,"Older Adult(&gt;60)",B471&gt;35,"Middle-aged Adult(36-60)",B471&gt;18,"Young Adult(19-35)",B471&gt;12,"Adolescent(13-18)",B471&gt;0,"Child(&lt;13)")</f>
        <v>Middle-aged Adult(36-60)</v>
      </c>
    </row>
    <row r="472" spans="1:12">
      <c r="A472" t="s">
        <v>15</v>
      </c>
      <c r="B472">
        <v>11</v>
      </c>
      <c r="C472">
        <v>0</v>
      </c>
      <c r="D472">
        <v>0</v>
      </c>
      <c r="E472">
        <v>1</v>
      </c>
      <c r="F472" t="s">
        <v>35</v>
      </c>
      <c r="G472" t="s">
        <v>12</v>
      </c>
      <c r="H472" t="s">
        <v>19</v>
      </c>
      <c r="I472" t="s">
        <v>14</v>
      </c>
      <c r="J472">
        <v>0</v>
      </c>
      <c r="K472" t="str">
        <f t="shared" si="7"/>
        <v>Not Affected</v>
      </c>
      <c r="L472" t="str" cm="1">
        <f t="array" ref="L472">_xlfn.IFS(B472&gt;60,"Older Adult(&gt;60)",B472&gt;35,"Middle-aged Adult(36-60)",B472&gt;18,"Young Adult(19-35)",B472&gt;12,"Adolescent(13-18)",B472&gt;0,"Child(&lt;13)")</f>
        <v>Child(&lt;13)</v>
      </c>
    </row>
    <row r="473" spans="1:12">
      <c r="A473" t="s">
        <v>10</v>
      </c>
      <c r="B473">
        <v>29</v>
      </c>
      <c r="C473">
        <v>1</v>
      </c>
      <c r="D473">
        <v>1</v>
      </c>
      <c r="E473">
        <v>1</v>
      </c>
      <c r="F473" t="s">
        <v>51</v>
      </c>
      <c r="G473" t="s">
        <v>17</v>
      </c>
      <c r="H473" t="s">
        <v>13</v>
      </c>
      <c r="I473" t="s">
        <v>14</v>
      </c>
      <c r="J473">
        <v>1</v>
      </c>
      <c r="K473" t="str">
        <f t="shared" si="7"/>
        <v>Affected</v>
      </c>
      <c r="L473" t="str" cm="1">
        <f t="array" ref="L473">_xlfn.IFS(B473&gt;60,"Older Adult(&gt;60)",B473&gt;35,"Middle-aged Adult(36-60)",B473&gt;18,"Young Adult(19-35)",B473&gt;12,"Adolescent(13-18)",B473&gt;0,"Child(&lt;13)")</f>
        <v>Young Adult(19-35)</v>
      </c>
    </row>
    <row r="474" spans="1:12">
      <c r="A474" t="s">
        <v>15</v>
      </c>
      <c r="B474">
        <v>45</v>
      </c>
      <c r="C474">
        <v>1</v>
      </c>
      <c r="D474">
        <v>1</v>
      </c>
      <c r="E474">
        <v>0</v>
      </c>
      <c r="F474" t="s">
        <v>30</v>
      </c>
      <c r="G474" t="s">
        <v>12</v>
      </c>
      <c r="H474" t="s">
        <v>13</v>
      </c>
      <c r="I474" t="s">
        <v>14</v>
      </c>
      <c r="J474">
        <v>1</v>
      </c>
      <c r="K474" t="str">
        <f t="shared" si="7"/>
        <v>Affected</v>
      </c>
      <c r="L474" t="str" cm="1">
        <f t="array" ref="L474">_xlfn.IFS(B474&gt;60,"Older Adult(&gt;60)",B474&gt;35,"Middle-aged Adult(36-60)",B474&gt;18,"Young Adult(19-35)",B474&gt;12,"Adolescent(13-18)",B474&gt;0,"Child(&lt;13)")</f>
        <v>Middle-aged Adult(36-60)</v>
      </c>
    </row>
    <row r="475" spans="1:12">
      <c r="A475" t="s">
        <v>15</v>
      </c>
      <c r="B475">
        <v>19</v>
      </c>
      <c r="C475">
        <v>0</v>
      </c>
      <c r="D475">
        <v>0</v>
      </c>
      <c r="E475">
        <v>0</v>
      </c>
      <c r="F475" t="s">
        <v>49</v>
      </c>
      <c r="G475" t="s">
        <v>17</v>
      </c>
      <c r="H475" t="s">
        <v>13</v>
      </c>
      <c r="I475" t="s">
        <v>14</v>
      </c>
      <c r="J475">
        <v>0</v>
      </c>
      <c r="K475" t="str">
        <f t="shared" si="7"/>
        <v>Not Affected</v>
      </c>
      <c r="L475" t="str" cm="1">
        <f t="array" ref="L475">_xlfn.IFS(B475&gt;60,"Older Adult(&gt;60)",B475&gt;35,"Middle-aged Adult(36-60)",B475&gt;18,"Young Adult(19-35)",B475&gt;12,"Adolescent(13-18)",B475&gt;0,"Child(&lt;13)")</f>
        <v>Young Adult(19-35)</v>
      </c>
    </row>
    <row r="476" spans="1:12">
      <c r="A476" t="s">
        <v>15</v>
      </c>
      <c r="B476">
        <v>24</v>
      </c>
      <c r="C476">
        <v>1</v>
      </c>
      <c r="D476">
        <v>1</v>
      </c>
      <c r="E476">
        <v>0</v>
      </c>
      <c r="F476" t="s">
        <v>48</v>
      </c>
      <c r="G476" t="s">
        <v>12</v>
      </c>
      <c r="H476" t="s">
        <v>24</v>
      </c>
      <c r="I476" t="s">
        <v>14</v>
      </c>
      <c r="J476">
        <v>1</v>
      </c>
      <c r="K476" t="str">
        <f t="shared" si="7"/>
        <v>Affected</v>
      </c>
      <c r="L476" t="str" cm="1">
        <f t="array" ref="L476">_xlfn.IFS(B476&gt;60,"Older Adult(&gt;60)",B476&gt;35,"Middle-aged Adult(36-60)",B476&gt;18,"Young Adult(19-35)",B476&gt;12,"Adolescent(13-18)",B476&gt;0,"Child(&lt;13)")</f>
        <v>Young Adult(19-35)</v>
      </c>
    </row>
    <row r="477" spans="1:12">
      <c r="A477" t="s">
        <v>15</v>
      </c>
      <c r="B477">
        <v>48</v>
      </c>
      <c r="C477">
        <v>0</v>
      </c>
      <c r="D477">
        <v>0</v>
      </c>
      <c r="E477">
        <v>0</v>
      </c>
      <c r="F477" t="s">
        <v>44</v>
      </c>
      <c r="G477" t="s">
        <v>17</v>
      </c>
      <c r="H477" t="s">
        <v>13</v>
      </c>
      <c r="I477" t="s">
        <v>14</v>
      </c>
      <c r="J477">
        <v>0</v>
      </c>
      <c r="K477" t="str">
        <f t="shared" si="7"/>
        <v>Not Affected</v>
      </c>
      <c r="L477" t="str" cm="1">
        <f t="array" ref="L477">_xlfn.IFS(B477&gt;60,"Older Adult(&gt;60)",B477&gt;35,"Middle-aged Adult(36-60)",B477&gt;18,"Young Adult(19-35)",B477&gt;12,"Adolescent(13-18)",B477&gt;0,"Child(&lt;13)")</f>
        <v>Middle-aged Adult(36-60)</v>
      </c>
    </row>
    <row r="478" spans="1:12">
      <c r="A478" t="s">
        <v>10</v>
      </c>
      <c r="B478">
        <v>53</v>
      </c>
      <c r="C478">
        <v>1</v>
      </c>
      <c r="D478">
        <v>1</v>
      </c>
      <c r="E478">
        <v>0</v>
      </c>
      <c r="F478" t="s">
        <v>42</v>
      </c>
      <c r="G478" t="s">
        <v>12</v>
      </c>
      <c r="H478" t="s">
        <v>24</v>
      </c>
      <c r="I478" t="s">
        <v>14</v>
      </c>
      <c r="J478">
        <v>1</v>
      </c>
      <c r="K478" t="str">
        <f t="shared" si="7"/>
        <v>Affected</v>
      </c>
      <c r="L478" t="str" cm="1">
        <f t="array" ref="L478">_xlfn.IFS(B478&gt;60,"Older Adult(&gt;60)",B478&gt;35,"Middle-aged Adult(36-60)",B478&gt;18,"Young Adult(19-35)",B478&gt;12,"Adolescent(13-18)",B478&gt;0,"Child(&lt;13)")</f>
        <v>Middle-aged Adult(36-60)</v>
      </c>
    </row>
    <row r="479" spans="1:12">
      <c r="A479" t="s">
        <v>10</v>
      </c>
      <c r="B479">
        <v>33</v>
      </c>
      <c r="C479">
        <v>1</v>
      </c>
      <c r="D479">
        <v>1</v>
      </c>
      <c r="E479">
        <v>0</v>
      </c>
      <c r="F479" t="s">
        <v>40</v>
      </c>
      <c r="G479" t="s">
        <v>17</v>
      </c>
      <c r="H479" t="s">
        <v>24</v>
      </c>
      <c r="I479" t="s">
        <v>14</v>
      </c>
      <c r="J479">
        <v>1</v>
      </c>
      <c r="K479" t="str">
        <f t="shared" si="7"/>
        <v>Affected</v>
      </c>
      <c r="L479" t="str" cm="1">
        <f t="array" ref="L479">_xlfn.IFS(B479&gt;60,"Older Adult(&gt;60)",B479&gt;35,"Middle-aged Adult(36-60)",B479&gt;18,"Young Adult(19-35)",B479&gt;12,"Adolescent(13-18)",B479&gt;0,"Child(&lt;13)")</f>
        <v>Young Adult(19-35)</v>
      </c>
    </row>
    <row r="480" spans="1:12">
      <c r="A480" t="s">
        <v>15</v>
      </c>
      <c r="B480">
        <v>41</v>
      </c>
      <c r="C480">
        <v>1</v>
      </c>
      <c r="D480">
        <v>1</v>
      </c>
      <c r="E480">
        <v>1</v>
      </c>
      <c r="F480" t="s">
        <v>27</v>
      </c>
      <c r="G480" t="s">
        <v>12</v>
      </c>
      <c r="H480" t="s">
        <v>24</v>
      </c>
      <c r="I480" t="s">
        <v>14</v>
      </c>
      <c r="J480">
        <v>1</v>
      </c>
      <c r="K480" t="str">
        <f t="shared" si="7"/>
        <v>Affected</v>
      </c>
      <c r="L480" t="str" cm="1">
        <f t="array" ref="L480">_xlfn.IFS(B480&gt;60,"Older Adult(&gt;60)",B480&gt;35,"Middle-aged Adult(36-60)",B480&gt;18,"Young Adult(19-35)",B480&gt;12,"Adolescent(13-18)",B480&gt;0,"Child(&lt;13)")</f>
        <v>Middle-aged Adult(36-60)</v>
      </c>
    </row>
    <row r="481" spans="1:12">
      <c r="A481" t="s">
        <v>10</v>
      </c>
      <c r="B481">
        <v>35</v>
      </c>
      <c r="C481">
        <v>0</v>
      </c>
      <c r="D481">
        <v>0</v>
      </c>
      <c r="E481">
        <v>1</v>
      </c>
      <c r="F481" t="s">
        <v>22</v>
      </c>
      <c r="G481" t="s">
        <v>17</v>
      </c>
      <c r="H481" t="s">
        <v>13</v>
      </c>
      <c r="I481" t="s">
        <v>14</v>
      </c>
      <c r="J481">
        <v>0</v>
      </c>
      <c r="K481" t="str">
        <f t="shared" si="7"/>
        <v>Not Affected</v>
      </c>
      <c r="L481" t="str" cm="1">
        <f t="array" ref="L481">_xlfn.IFS(B481&gt;60,"Older Adult(&gt;60)",B481&gt;35,"Middle-aged Adult(36-60)",B481&gt;18,"Young Adult(19-35)",B481&gt;12,"Adolescent(13-18)",B481&gt;0,"Child(&lt;13)")</f>
        <v>Young Adult(19-35)</v>
      </c>
    </row>
    <row r="482" spans="1:12">
      <c r="A482" t="s">
        <v>15</v>
      </c>
      <c r="B482">
        <v>63</v>
      </c>
      <c r="C482">
        <v>0</v>
      </c>
      <c r="D482">
        <v>0</v>
      </c>
      <c r="E482">
        <v>0</v>
      </c>
      <c r="F482" t="s">
        <v>22</v>
      </c>
      <c r="G482" t="s">
        <v>12</v>
      </c>
      <c r="H482" t="s">
        <v>24</v>
      </c>
      <c r="I482" t="s">
        <v>14</v>
      </c>
      <c r="J482">
        <v>0</v>
      </c>
      <c r="K482" t="str">
        <f t="shared" si="7"/>
        <v>Not Affected</v>
      </c>
      <c r="L482" t="str" cm="1">
        <f t="array" ref="L482">_xlfn.IFS(B482&gt;60,"Older Adult(&gt;60)",B482&gt;35,"Middle-aged Adult(36-60)",B482&gt;18,"Young Adult(19-35)",B482&gt;12,"Adolescent(13-18)",B482&gt;0,"Child(&lt;13)")</f>
        <v>Older Adult(&gt;60)</v>
      </c>
    </row>
    <row r="483" spans="1:12">
      <c r="A483" t="s">
        <v>10</v>
      </c>
      <c r="B483">
        <v>54</v>
      </c>
      <c r="C483">
        <v>1</v>
      </c>
      <c r="D483">
        <v>1</v>
      </c>
      <c r="E483">
        <v>0</v>
      </c>
      <c r="F483" t="s">
        <v>33</v>
      </c>
      <c r="G483" t="s">
        <v>17</v>
      </c>
      <c r="H483" t="s">
        <v>24</v>
      </c>
      <c r="I483" t="s">
        <v>14</v>
      </c>
      <c r="J483">
        <v>1</v>
      </c>
      <c r="K483" t="str">
        <f t="shared" si="7"/>
        <v>Affected</v>
      </c>
      <c r="L483" t="str" cm="1">
        <f t="array" ref="L483">_xlfn.IFS(B483&gt;60,"Older Adult(&gt;60)",B483&gt;35,"Middle-aged Adult(36-60)",B483&gt;18,"Young Adult(19-35)",B483&gt;12,"Adolescent(13-18)",B483&gt;0,"Child(&lt;13)")</f>
        <v>Middle-aged Adult(36-60)</v>
      </c>
    </row>
    <row r="484" spans="1:12">
      <c r="A484" t="s">
        <v>10</v>
      </c>
      <c r="B484">
        <v>40</v>
      </c>
      <c r="C484">
        <v>1</v>
      </c>
      <c r="D484">
        <v>1</v>
      </c>
      <c r="E484">
        <v>1</v>
      </c>
      <c r="F484" t="s">
        <v>43</v>
      </c>
      <c r="G484" t="s">
        <v>12</v>
      </c>
      <c r="H484" t="s">
        <v>24</v>
      </c>
      <c r="I484" t="s">
        <v>14</v>
      </c>
      <c r="J484">
        <v>1</v>
      </c>
      <c r="K484" t="str">
        <f t="shared" si="7"/>
        <v>Affected</v>
      </c>
      <c r="L484" t="str" cm="1">
        <f t="array" ref="L484">_xlfn.IFS(B484&gt;60,"Older Adult(&gt;60)",B484&gt;35,"Middle-aged Adult(36-60)",B484&gt;18,"Young Adult(19-35)",B484&gt;12,"Adolescent(13-18)",B484&gt;0,"Child(&lt;13)")</f>
        <v>Middle-aged Adult(36-60)</v>
      </c>
    </row>
    <row r="485" spans="1:12">
      <c r="A485" t="s">
        <v>10</v>
      </c>
      <c r="B485">
        <v>23</v>
      </c>
      <c r="C485">
        <v>0</v>
      </c>
      <c r="D485">
        <v>0</v>
      </c>
      <c r="E485">
        <v>1</v>
      </c>
      <c r="F485" t="s">
        <v>52</v>
      </c>
      <c r="G485" t="s">
        <v>17</v>
      </c>
      <c r="H485" t="s">
        <v>19</v>
      </c>
      <c r="I485" t="s">
        <v>14</v>
      </c>
      <c r="J485">
        <v>0</v>
      </c>
      <c r="K485" t="str">
        <f t="shared" si="7"/>
        <v>Not Affected</v>
      </c>
      <c r="L485" t="str" cm="1">
        <f t="array" ref="L485">_xlfn.IFS(B485&gt;60,"Older Adult(&gt;60)",B485&gt;35,"Middle-aged Adult(36-60)",B485&gt;18,"Young Adult(19-35)",B485&gt;12,"Adolescent(13-18)",B485&gt;0,"Child(&lt;13)")</f>
        <v>Young Adult(19-35)</v>
      </c>
    </row>
    <row r="486" spans="1:12">
      <c r="A486" t="s">
        <v>10</v>
      </c>
      <c r="B486">
        <v>55</v>
      </c>
      <c r="C486">
        <v>0</v>
      </c>
      <c r="D486">
        <v>0</v>
      </c>
      <c r="E486">
        <v>0</v>
      </c>
      <c r="F486" t="s">
        <v>27</v>
      </c>
      <c r="G486" t="s">
        <v>12</v>
      </c>
      <c r="H486" t="s">
        <v>19</v>
      </c>
      <c r="I486" t="s">
        <v>14</v>
      </c>
      <c r="J486">
        <v>0</v>
      </c>
      <c r="K486" t="str">
        <f t="shared" si="7"/>
        <v>Not Affected</v>
      </c>
      <c r="L486" t="str" cm="1">
        <f t="array" ref="L486">_xlfn.IFS(B486&gt;60,"Older Adult(&gt;60)",B486&gt;35,"Middle-aged Adult(36-60)",B486&gt;18,"Young Adult(19-35)",B486&gt;12,"Adolescent(13-18)",B486&gt;0,"Child(&lt;13)")</f>
        <v>Middle-aged Adult(36-60)</v>
      </c>
    </row>
    <row r="487" spans="1:12">
      <c r="A487" t="s">
        <v>10</v>
      </c>
      <c r="B487">
        <v>32</v>
      </c>
      <c r="C487">
        <v>0</v>
      </c>
      <c r="D487">
        <v>0</v>
      </c>
      <c r="E487">
        <v>0</v>
      </c>
      <c r="F487" t="s">
        <v>42</v>
      </c>
      <c r="G487" t="s">
        <v>17</v>
      </c>
      <c r="H487" t="s">
        <v>19</v>
      </c>
      <c r="I487" t="s">
        <v>14</v>
      </c>
      <c r="J487">
        <v>0</v>
      </c>
      <c r="K487" t="str">
        <f t="shared" si="7"/>
        <v>Not Affected</v>
      </c>
      <c r="L487" t="str" cm="1">
        <f t="array" ref="L487">_xlfn.IFS(B487&gt;60,"Older Adult(&gt;60)",B487&gt;35,"Middle-aged Adult(36-60)",B487&gt;18,"Young Adult(19-35)",B487&gt;12,"Adolescent(13-18)",B487&gt;0,"Child(&lt;13)")</f>
        <v>Young Adult(19-35)</v>
      </c>
    </row>
    <row r="488" spans="1:12">
      <c r="A488" t="s">
        <v>15</v>
      </c>
      <c r="B488">
        <v>13</v>
      </c>
      <c r="C488">
        <v>0</v>
      </c>
      <c r="D488">
        <v>0</v>
      </c>
      <c r="E488">
        <v>1</v>
      </c>
      <c r="F488" t="s">
        <v>21</v>
      </c>
      <c r="G488" t="s">
        <v>12</v>
      </c>
      <c r="H488" t="s">
        <v>24</v>
      </c>
      <c r="I488" t="s">
        <v>14</v>
      </c>
      <c r="J488">
        <v>0</v>
      </c>
      <c r="K488" t="str">
        <f t="shared" si="7"/>
        <v>Not Affected</v>
      </c>
      <c r="L488" t="str" cm="1">
        <f t="array" ref="L488">_xlfn.IFS(B488&gt;60,"Older Adult(&gt;60)",B488&gt;35,"Middle-aged Adult(36-60)",B488&gt;18,"Young Adult(19-35)",B488&gt;12,"Adolescent(13-18)",B488&gt;0,"Child(&lt;13)")</f>
        <v>Adolescent(13-18)</v>
      </c>
    </row>
    <row r="489" spans="1:12">
      <c r="A489" t="s">
        <v>15</v>
      </c>
      <c r="B489">
        <v>44</v>
      </c>
      <c r="C489">
        <v>1</v>
      </c>
      <c r="D489">
        <v>1</v>
      </c>
      <c r="E489">
        <v>0</v>
      </c>
      <c r="F489" t="s">
        <v>40</v>
      </c>
      <c r="G489" t="s">
        <v>17</v>
      </c>
      <c r="H489" t="s">
        <v>13</v>
      </c>
      <c r="I489" t="s">
        <v>14</v>
      </c>
      <c r="J489">
        <v>1</v>
      </c>
      <c r="K489" t="str">
        <f t="shared" si="7"/>
        <v>Affected</v>
      </c>
      <c r="L489" t="str" cm="1">
        <f t="array" ref="L489">_xlfn.IFS(B489&gt;60,"Older Adult(&gt;60)",B489&gt;35,"Middle-aged Adult(36-60)",B489&gt;18,"Young Adult(19-35)",B489&gt;12,"Adolescent(13-18)",B489&gt;0,"Child(&lt;13)")</f>
        <v>Middle-aged Adult(36-60)</v>
      </c>
    </row>
    <row r="490" spans="1:12">
      <c r="A490" t="s">
        <v>10</v>
      </c>
      <c r="B490">
        <v>52</v>
      </c>
      <c r="C490">
        <v>0</v>
      </c>
      <c r="D490">
        <v>0</v>
      </c>
      <c r="E490">
        <v>1</v>
      </c>
      <c r="F490" t="s">
        <v>30</v>
      </c>
      <c r="G490" t="s">
        <v>12</v>
      </c>
      <c r="H490" t="s">
        <v>24</v>
      </c>
      <c r="I490" t="s">
        <v>14</v>
      </c>
      <c r="J490">
        <v>0</v>
      </c>
      <c r="K490" t="str">
        <f t="shared" si="7"/>
        <v>Not Affected</v>
      </c>
      <c r="L490" t="str" cm="1">
        <f t="array" ref="L490">_xlfn.IFS(B490&gt;60,"Older Adult(&gt;60)",B490&gt;35,"Middle-aged Adult(36-60)",B490&gt;18,"Young Adult(19-35)",B490&gt;12,"Adolescent(13-18)",B490&gt;0,"Child(&lt;13)")</f>
        <v>Middle-aged Adult(36-60)</v>
      </c>
    </row>
    <row r="491" spans="1:12">
      <c r="A491" t="s">
        <v>15</v>
      </c>
      <c r="B491">
        <v>65</v>
      </c>
      <c r="C491">
        <v>0</v>
      </c>
      <c r="D491">
        <v>0</v>
      </c>
      <c r="E491">
        <v>0</v>
      </c>
      <c r="F491" t="s">
        <v>32</v>
      </c>
      <c r="G491" t="s">
        <v>17</v>
      </c>
      <c r="H491" t="s">
        <v>19</v>
      </c>
      <c r="I491" t="s">
        <v>14</v>
      </c>
      <c r="J491">
        <v>0</v>
      </c>
      <c r="K491" t="str">
        <f t="shared" si="7"/>
        <v>Not Affected</v>
      </c>
      <c r="L491" t="str" cm="1">
        <f t="array" ref="L491">_xlfn.IFS(B491&gt;60,"Older Adult(&gt;60)",B491&gt;35,"Middle-aged Adult(36-60)",B491&gt;18,"Young Adult(19-35)",B491&gt;12,"Adolescent(13-18)",B491&gt;0,"Child(&lt;13)")</f>
        <v>Older Adult(&gt;60)</v>
      </c>
    </row>
    <row r="492" spans="1:12">
      <c r="A492" t="s">
        <v>15</v>
      </c>
      <c r="B492">
        <v>55</v>
      </c>
      <c r="C492">
        <v>0</v>
      </c>
      <c r="D492">
        <v>0</v>
      </c>
      <c r="E492">
        <v>0</v>
      </c>
      <c r="F492" t="s">
        <v>37</v>
      </c>
      <c r="G492" t="s">
        <v>12</v>
      </c>
      <c r="H492" t="s">
        <v>19</v>
      </c>
      <c r="I492" t="s">
        <v>14</v>
      </c>
      <c r="J492">
        <v>0</v>
      </c>
      <c r="K492" t="str">
        <f t="shared" si="7"/>
        <v>Not Affected</v>
      </c>
      <c r="L492" t="str" cm="1">
        <f t="array" ref="L492">_xlfn.IFS(B492&gt;60,"Older Adult(&gt;60)",B492&gt;35,"Middle-aged Adult(36-60)",B492&gt;18,"Young Adult(19-35)",B492&gt;12,"Adolescent(13-18)",B492&gt;0,"Child(&lt;13)")</f>
        <v>Middle-aged Adult(36-60)</v>
      </c>
    </row>
    <row r="493" spans="1:12">
      <c r="A493" t="s">
        <v>10</v>
      </c>
      <c r="B493">
        <v>17</v>
      </c>
      <c r="C493">
        <v>0</v>
      </c>
      <c r="D493">
        <v>0</v>
      </c>
      <c r="E493">
        <v>1</v>
      </c>
      <c r="F493" t="s">
        <v>11</v>
      </c>
      <c r="G493" t="s">
        <v>17</v>
      </c>
      <c r="H493" t="s">
        <v>19</v>
      </c>
      <c r="I493" t="s">
        <v>14</v>
      </c>
      <c r="J493">
        <v>0</v>
      </c>
      <c r="K493" t="str">
        <f t="shared" si="7"/>
        <v>Not Affected</v>
      </c>
      <c r="L493" t="str" cm="1">
        <f t="array" ref="L493">_xlfn.IFS(B493&gt;60,"Older Adult(&gt;60)",B493&gt;35,"Middle-aged Adult(36-60)",B493&gt;18,"Young Adult(19-35)",B493&gt;12,"Adolescent(13-18)",B493&gt;0,"Child(&lt;13)")</f>
        <v>Adolescent(13-18)</v>
      </c>
    </row>
    <row r="494" spans="1:12">
      <c r="A494" t="s">
        <v>10</v>
      </c>
      <c r="B494">
        <v>31</v>
      </c>
      <c r="C494">
        <v>1</v>
      </c>
      <c r="D494">
        <v>1</v>
      </c>
      <c r="E494">
        <v>0</v>
      </c>
      <c r="F494" t="s">
        <v>37</v>
      </c>
      <c r="G494" t="s">
        <v>12</v>
      </c>
      <c r="H494" t="s">
        <v>13</v>
      </c>
      <c r="I494" t="s">
        <v>14</v>
      </c>
      <c r="J494">
        <v>1</v>
      </c>
      <c r="K494" t="str">
        <f t="shared" si="7"/>
        <v>Affected</v>
      </c>
      <c r="L494" t="str" cm="1">
        <f t="array" ref="L494">_xlfn.IFS(B494&gt;60,"Older Adult(&gt;60)",B494&gt;35,"Middle-aged Adult(36-60)",B494&gt;18,"Young Adult(19-35)",B494&gt;12,"Adolescent(13-18)",B494&gt;0,"Child(&lt;13)")</f>
        <v>Young Adult(19-35)</v>
      </c>
    </row>
    <row r="495" spans="1:12">
      <c r="A495" t="s">
        <v>15</v>
      </c>
      <c r="B495">
        <v>9</v>
      </c>
      <c r="C495">
        <v>1</v>
      </c>
      <c r="D495">
        <v>1</v>
      </c>
      <c r="E495">
        <v>1</v>
      </c>
      <c r="F495" t="s">
        <v>39</v>
      </c>
      <c r="G495" t="s">
        <v>17</v>
      </c>
      <c r="H495" t="s">
        <v>24</v>
      </c>
      <c r="I495" t="s">
        <v>14</v>
      </c>
      <c r="J495">
        <v>1</v>
      </c>
      <c r="K495" t="str">
        <f t="shared" si="7"/>
        <v>Affected</v>
      </c>
      <c r="L495" t="str" cm="1">
        <f t="array" ref="L495">_xlfn.IFS(B495&gt;60,"Older Adult(&gt;60)",B495&gt;35,"Middle-aged Adult(36-60)",B495&gt;18,"Young Adult(19-35)",B495&gt;12,"Adolescent(13-18)",B495&gt;0,"Child(&lt;13)")</f>
        <v>Child(&lt;13)</v>
      </c>
    </row>
    <row r="496" spans="1:12">
      <c r="A496" t="s">
        <v>15</v>
      </c>
      <c r="B496">
        <v>22</v>
      </c>
      <c r="C496">
        <v>1</v>
      </c>
      <c r="D496">
        <v>1</v>
      </c>
      <c r="E496">
        <v>0</v>
      </c>
      <c r="F496" t="s">
        <v>39</v>
      </c>
      <c r="G496" t="s">
        <v>12</v>
      </c>
      <c r="H496" t="s">
        <v>24</v>
      </c>
      <c r="I496" t="s">
        <v>14</v>
      </c>
      <c r="J496">
        <v>1</v>
      </c>
      <c r="K496" t="str">
        <f t="shared" si="7"/>
        <v>Affected</v>
      </c>
      <c r="L496" t="str" cm="1">
        <f t="array" ref="L496">_xlfn.IFS(B496&gt;60,"Older Adult(&gt;60)",B496&gt;35,"Middle-aged Adult(36-60)",B496&gt;18,"Young Adult(19-35)",B496&gt;12,"Adolescent(13-18)",B496&gt;0,"Child(&lt;13)")</f>
        <v>Young Adult(19-35)</v>
      </c>
    </row>
    <row r="497" spans="1:12">
      <c r="A497" t="s">
        <v>10</v>
      </c>
      <c r="B497">
        <v>21</v>
      </c>
      <c r="C497">
        <v>1</v>
      </c>
      <c r="D497">
        <v>1</v>
      </c>
      <c r="E497">
        <v>0</v>
      </c>
      <c r="F497" t="s">
        <v>47</v>
      </c>
      <c r="G497" t="s">
        <v>17</v>
      </c>
      <c r="H497" t="s">
        <v>19</v>
      </c>
      <c r="I497" t="s">
        <v>14</v>
      </c>
      <c r="J497">
        <v>1</v>
      </c>
      <c r="K497" t="str">
        <f t="shared" si="7"/>
        <v>Affected</v>
      </c>
      <c r="L497" t="str" cm="1">
        <f t="array" ref="L497">_xlfn.IFS(B497&gt;60,"Older Adult(&gt;60)",B497&gt;35,"Middle-aged Adult(36-60)",B497&gt;18,"Young Adult(19-35)",B497&gt;12,"Adolescent(13-18)",B497&gt;0,"Child(&lt;13)")</f>
        <v>Young Adult(19-35)</v>
      </c>
    </row>
    <row r="498" spans="1:12">
      <c r="A498" t="s">
        <v>10</v>
      </c>
      <c r="B498">
        <v>15</v>
      </c>
      <c r="C498">
        <v>1</v>
      </c>
      <c r="D498">
        <v>1</v>
      </c>
      <c r="E498">
        <v>0</v>
      </c>
      <c r="F498" t="s">
        <v>52</v>
      </c>
      <c r="G498" t="s">
        <v>12</v>
      </c>
      <c r="H498" t="s">
        <v>13</v>
      </c>
      <c r="I498" t="s">
        <v>14</v>
      </c>
      <c r="J498">
        <v>1</v>
      </c>
      <c r="K498" t="str">
        <f t="shared" si="7"/>
        <v>Affected</v>
      </c>
      <c r="L498" t="str" cm="1">
        <f t="array" ref="L498">_xlfn.IFS(B498&gt;60,"Older Adult(&gt;60)",B498&gt;35,"Middle-aged Adult(36-60)",B498&gt;18,"Young Adult(19-35)",B498&gt;12,"Adolescent(13-18)",B498&gt;0,"Child(&lt;13)")</f>
        <v>Adolescent(13-18)</v>
      </c>
    </row>
    <row r="499" spans="1:12">
      <c r="A499" t="s">
        <v>15</v>
      </c>
      <c r="B499">
        <v>40</v>
      </c>
      <c r="C499">
        <v>1</v>
      </c>
      <c r="D499">
        <v>1</v>
      </c>
      <c r="E499">
        <v>0</v>
      </c>
      <c r="F499" t="s">
        <v>49</v>
      </c>
      <c r="G499" t="s">
        <v>17</v>
      </c>
      <c r="H499" t="s">
        <v>24</v>
      </c>
      <c r="I499" t="s">
        <v>14</v>
      </c>
      <c r="J499">
        <v>1</v>
      </c>
      <c r="K499" t="str">
        <f t="shared" si="7"/>
        <v>Affected</v>
      </c>
      <c r="L499" t="str" cm="1">
        <f t="array" ref="L499">_xlfn.IFS(B499&gt;60,"Older Adult(&gt;60)",B499&gt;35,"Middle-aged Adult(36-60)",B499&gt;18,"Young Adult(19-35)",B499&gt;12,"Adolescent(13-18)",B499&gt;0,"Child(&lt;13)")</f>
        <v>Middle-aged Adult(36-60)</v>
      </c>
    </row>
    <row r="500" spans="1:12">
      <c r="A500" t="s">
        <v>10</v>
      </c>
      <c r="B500">
        <v>37</v>
      </c>
      <c r="C500">
        <v>1</v>
      </c>
      <c r="D500">
        <v>1</v>
      </c>
      <c r="E500">
        <v>1</v>
      </c>
      <c r="F500" t="s">
        <v>20</v>
      </c>
      <c r="G500" t="s">
        <v>12</v>
      </c>
      <c r="H500" t="s">
        <v>13</v>
      </c>
      <c r="I500" t="s">
        <v>14</v>
      </c>
      <c r="J500">
        <v>1</v>
      </c>
      <c r="K500" t="str">
        <f t="shared" si="7"/>
        <v>Affected</v>
      </c>
      <c r="L500" t="str" cm="1">
        <f t="array" ref="L500">_xlfn.IFS(B500&gt;60,"Older Adult(&gt;60)",B500&gt;35,"Middle-aged Adult(36-60)",B500&gt;18,"Young Adult(19-35)",B500&gt;12,"Adolescent(13-18)",B500&gt;0,"Child(&lt;13)")</f>
        <v>Middle-aged Adult(36-60)</v>
      </c>
    </row>
    <row r="501" spans="1:12">
      <c r="A501" t="s">
        <v>15</v>
      </c>
      <c r="B501">
        <v>53</v>
      </c>
      <c r="C501">
        <v>0</v>
      </c>
      <c r="D501">
        <v>0</v>
      </c>
      <c r="E501">
        <v>0</v>
      </c>
      <c r="F501" t="s">
        <v>21</v>
      </c>
      <c r="G501" t="s">
        <v>17</v>
      </c>
      <c r="H501" t="s">
        <v>19</v>
      </c>
      <c r="I501" t="s">
        <v>14</v>
      </c>
      <c r="J501">
        <v>0</v>
      </c>
      <c r="K501" t="str">
        <f t="shared" si="7"/>
        <v>Not Affected</v>
      </c>
      <c r="L501" t="str" cm="1">
        <f t="array" ref="L501">_xlfn.IFS(B501&gt;60,"Older Adult(&gt;60)",B501&gt;35,"Middle-aged Adult(36-60)",B501&gt;18,"Young Adult(19-35)",B501&gt;12,"Adolescent(13-18)",B501&gt;0,"Child(&lt;13)")</f>
        <v>Middle-aged Adult(36-60)</v>
      </c>
    </row>
    <row r="502" spans="1:12">
      <c r="A502" t="s">
        <v>10</v>
      </c>
      <c r="B502">
        <v>46</v>
      </c>
      <c r="C502">
        <v>0</v>
      </c>
      <c r="D502">
        <v>0</v>
      </c>
      <c r="E502">
        <v>0</v>
      </c>
      <c r="F502" t="s">
        <v>23</v>
      </c>
      <c r="G502" t="s">
        <v>12</v>
      </c>
      <c r="H502" t="s">
        <v>24</v>
      </c>
      <c r="I502" t="s">
        <v>14</v>
      </c>
      <c r="J502">
        <v>0</v>
      </c>
      <c r="K502" t="str">
        <f t="shared" si="7"/>
        <v>Not Affected</v>
      </c>
      <c r="L502" t="str" cm="1">
        <f t="array" ref="L502">_xlfn.IFS(B502&gt;60,"Older Adult(&gt;60)",B502&gt;35,"Middle-aged Adult(36-60)",B502&gt;18,"Young Adult(19-35)",B502&gt;12,"Adolescent(13-18)",B502&gt;0,"Child(&lt;13)")</f>
        <v>Middle-aged Adult(36-60)</v>
      </c>
    </row>
    <row r="503" spans="1:12">
      <c r="A503" t="s">
        <v>15</v>
      </c>
      <c r="B503">
        <v>9</v>
      </c>
      <c r="C503">
        <v>1</v>
      </c>
      <c r="D503">
        <v>1</v>
      </c>
      <c r="E503">
        <v>1</v>
      </c>
      <c r="F503" t="s">
        <v>34</v>
      </c>
      <c r="G503" t="s">
        <v>17</v>
      </c>
      <c r="H503" t="s">
        <v>19</v>
      </c>
      <c r="I503" t="s">
        <v>14</v>
      </c>
      <c r="J503">
        <v>1</v>
      </c>
      <c r="K503" t="str">
        <f t="shared" si="7"/>
        <v>Affected</v>
      </c>
      <c r="L503" t="str" cm="1">
        <f t="array" ref="L503">_xlfn.IFS(B503&gt;60,"Older Adult(&gt;60)",B503&gt;35,"Middle-aged Adult(36-60)",B503&gt;18,"Young Adult(19-35)",B503&gt;12,"Adolescent(13-18)",B503&gt;0,"Child(&lt;13)")</f>
        <v>Child(&lt;13)</v>
      </c>
    </row>
    <row r="504" spans="1:12">
      <c r="A504" t="s">
        <v>15</v>
      </c>
      <c r="B504">
        <v>35</v>
      </c>
      <c r="C504">
        <v>0</v>
      </c>
      <c r="D504">
        <v>0</v>
      </c>
      <c r="E504">
        <v>1</v>
      </c>
      <c r="F504" t="s">
        <v>23</v>
      </c>
      <c r="G504" t="s">
        <v>12</v>
      </c>
      <c r="H504" t="s">
        <v>24</v>
      </c>
      <c r="I504" t="s">
        <v>14</v>
      </c>
      <c r="J504">
        <v>0</v>
      </c>
      <c r="K504" t="str">
        <f t="shared" si="7"/>
        <v>Not Affected</v>
      </c>
      <c r="L504" t="str" cm="1">
        <f t="array" ref="L504">_xlfn.IFS(B504&gt;60,"Older Adult(&gt;60)",B504&gt;35,"Middle-aged Adult(36-60)",B504&gt;18,"Young Adult(19-35)",B504&gt;12,"Adolescent(13-18)",B504&gt;0,"Child(&lt;13)")</f>
        <v>Young Adult(19-35)</v>
      </c>
    </row>
    <row r="505" spans="1:12">
      <c r="A505" t="s">
        <v>10</v>
      </c>
      <c r="B505">
        <v>18</v>
      </c>
      <c r="C505">
        <v>0</v>
      </c>
      <c r="D505">
        <v>0</v>
      </c>
      <c r="E505">
        <v>1</v>
      </c>
      <c r="F505" t="s">
        <v>36</v>
      </c>
      <c r="G505" t="s">
        <v>17</v>
      </c>
      <c r="H505" t="s">
        <v>19</v>
      </c>
      <c r="I505" t="s">
        <v>14</v>
      </c>
      <c r="J505">
        <v>0</v>
      </c>
      <c r="K505" t="str">
        <f t="shared" si="7"/>
        <v>Not Affected</v>
      </c>
      <c r="L505" t="str" cm="1">
        <f t="array" ref="L505">_xlfn.IFS(B505&gt;60,"Older Adult(&gt;60)",B505&gt;35,"Middle-aged Adult(36-60)",B505&gt;18,"Young Adult(19-35)",B505&gt;12,"Adolescent(13-18)",B505&gt;0,"Child(&lt;13)")</f>
        <v>Adolescent(13-18)</v>
      </c>
    </row>
    <row r="506" spans="1:12">
      <c r="A506" t="s">
        <v>10</v>
      </c>
      <c r="B506">
        <v>10</v>
      </c>
      <c r="C506">
        <v>0</v>
      </c>
      <c r="D506">
        <v>0</v>
      </c>
      <c r="E506">
        <v>1</v>
      </c>
      <c r="F506" t="s">
        <v>35</v>
      </c>
      <c r="G506" t="s">
        <v>12</v>
      </c>
      <c r="H506" t="s">
        <v>19</v>
      </c>
      <c r="I506" t="s">
        <v>14</v>
      </c>
      <c r="J506">
        <v>0</v>
      </c>
      <c r="K506" t="str">
        <f t="shared" si="7"/>
        <v>Not Affected</v>
      </c>
      <c r="L506" t="str" cm="1">
        <f t="array" ref="L506">_xlfn.IFS(B506&gt;60,"Older Adult(&gt;60)",B506&gt;35,"Middle-aged Adult(36-60)",B506&gt;18,"Young Adult(19-35)",B506&gt;12,"Adolescent(13-18)",B506&gt;0,"Child(&lt;13)")</f>
        <v>Child(&lt;13)</v>
      </c>
    </row>
    <row r="507" spans="1:12">
      <c r="A507" t="s">
        <v>10</v>
      </c>
      <c r="B507">
        <v>13</v>
      </c>
      <c r="C507">
        <v>1</v>
      </c>
      <c r="D507">
        <v>1</v>
      </c>
      <c r="E507">
        <v>1</v>
      </c>
      <c r="F507" t="s">
        <v>11</v>
      </c>
      <c r="G507" t="s">
        <v>17</v>
      </c>
      <c r="H507" t="s">
        <v>24</v>
      </c>
      <c r="I507" t="s">
        <v>14</v>
      </c>
      <c r="J507">
        <v>1</v>
      </c>
      <c r="K507" t="str">
        <f t="shared" si="7"/>
        <v>Affected</v>
      </c>
      <c r="L507" t="str" cm="1">
        <f t="array" ref="L507">_xlfn.IFS(B507&gt;60,"Older Adult(&gt;60)",B507&gt;35,"Middle-aged Adult(36-60)",B507&gt;18,"Young Adult(19-35)",B507&gt;12,"Adolescent(13-18)",B507&gt;0,"Child(&lt;13)")</f>
        <v>Adolescent(13-18)</v>
      </c>
    </row>
    <row r="508" spans="1:12">
      <c r="A508" t="s">
        <v>10</v>
      </c>
      <c r="B508">
        <v>19</v>
      </c>
      <c r="C508">
        <v>1</v>
      </c>
      <c r="D508">
        <v>1</v>
      </c>
      <c r="E508">
        <v>0</v>
      </c>
      <c r="F508" t="s">
        <v>51</v>
      </c>
      <c r="G508" t="s">
        <v>12</v>
      </c>
      <c r="H508" t="s">
        <v>24</v>
      </c>
      <c r="I508" t="s">
        <v>14</v>
      </c>
      <c r="J508">
        <v>1</v>
      </c>
      <c r="K508" t="str">
        <f t="shared" si="7"/>
        <v>Affected</v>
      </c>
      <c r="L508" t="str" cm="1">
        <f t="array" ref="L508">_xlfn.IFS(B508&gt;60,"Older Adult(&gt;60)",B508&gt;35,"Middle-aged Adult(36-60)",B508&gt;18,"Young Adult(19-35)",B508&gt;12,"Adolescent(13-18)",B508&gt;0,"Child(&lt;13)")</f>
        <v>Young Adult(19-35)</v>
      </c>
    </row>
    <row r="509" spans="1:12">
      <c r="A509" t="s">
        <v>15</v>
      </c>
      <c r="B509">
        <v>37</v>
      </c>
      <c r="C509">
        <v>0</v>
      </c>
      <c r="D509">
        <v>0</v>
      </c>
      <c r="E509">
        <v>1</v>
      </c>
      <c r="F509" t="s">
        <v>31</v>
      </c>
      <c r="G509" t="s">
        <v>17</v>
      </c>
      <c r="H509" t="s">
        <v>19</v>
      </c>
      <c r="I509" t="s">
        <v>14</v>
      </c>
      <c r="J509">
        <v>0</v>
      </c>
      <c r="K509" t="str">
        <f t="shared" si="7"/>
        <v>Not Affected</v>
      </c>
      <c r="L509" t="str" cm="1">
        <f t="array" ref="L509">_xlfn.IFS(B509&gt;60,"Older Adult(&gt;60)",B509&gt;35,"Middle-aged Adult(36-60)",B509&gt;18,"Young Adult(19-35)",B509&gt;12,"Adolescent(13-18)",B509&gt;0,"Child(&lt;13)")</f>
        <v>Middle-aged Adult(36-60)</v>
      </c>
    </row>
    <row r="510" spans="1:12">
      <c r="A510" t="s">
        <v>10</v>
      </c>
      <c r="B510">
        <v>40</v>
      </c>
      <c r="C510">
        <v>1</v>
      </c>
      <c r="D510">
        <v>1</v>
      </c>
      <c r="E510">
        <v>0</v>
      </c>
      <c r="F510" t="s">
        <v>49</v>
      </c>
      <c r="G510" t="s">
        <v>12</v>
      </c>
      <c r="H510" t="s">
        <v>13</v>
      </c>
      <c r="I510" t="s">
        <v>14</v>
      </c>
      <c r="J510">
        <v>1</v>
      </c>
      <c r="K510" t="str">
        <f t="shared" si="7"/>
        <v>Affected</v>
      </c>
      <c r="L510" t="str" cm="1">
        <f t="array" ref="L510">_xlfn.IFS(B510&gt;60,"Older Adult(&gt;60)",B510&gt;35,"Middle-aged Adult(36-60)",B510&gt;18,"Young Adult(19-35)",B510&gt;12,"Adolescent(13-18)",B510&gt;0,"Child(&lt;13)")</f>
        <v>Middle-aged Adult(36-60)</v>
      </c>
    </row>
    <row r="511" spans="1:12">
      <c r="A511" t="s">
        <v>10</v>
      </c>
      <c r="B511">
        <v>10</v>
      </c>
      <c r="C511">
        <v>0</v>
      </c>
      <c r="D511">
        <v>0</v>
      </c>
      <c r="E511">
        <v>0</v>
      </c>
      <c r="F511" t="s">
        <v>49</v>
      </c>
      <c r="G511" t="s">
        <v>17</v>
      </c>
      <c r="H511" t="s">
        <v>24</v>
      </c>
      <c r="I511" t="s">
        <v>14</v>
      </c>
      <c r="J511">
        <v>0</v>
      </c>
      <c r="K511" t="str">
        <f t="shared" si="7"/>
        <v>Not Affected</v>
      </c>
      <c r="L511" t="str" cm="1">
        <f t="array" ref="L511">_xlfn.IFS(B511&gt;60,"Older Adult(&gt;60)",B511&gt;35,"Middle-aged Adult(36-60)",B511&gt;18,"Young Adult(19-35)",B511&gt;12,"Adolescent(13-18)",B511&gt;0,"Child(&lt;13)")</f>
        <v>Child(&lt;13)</v>
      </c>
    </row>
    <row r="512" spans="1:12">
      <c r="A512" t="s">
        <v>10</v>
      </c>
      <c r="B512">
        <v>17</v>
      </c>
      <c r="C512">
        <v>0</v>
      </c>
      <c r="D512">
        <v>0</v>
      </c>
      <c r="E512">
        <v>1</v>
      </c>
      <c r="F512" t="s">
        <v>25</v>
      </c>
      <c r="G512" t="s">
        <v>12</v>
      </c>
      <c r="H512" t="s">
        <v>19</v>
      </c>
      <c r="I512" t="s">
        <v>14</v>
      </c>
      <c r="J512">
        <v>0</v>
      </c>
      <c r="K512" t="str">
        <f t="shared" si="7"/>
        <v>Not Affected</v>
      </c>
      <c r="L512" t="str" cm="1">
        <f t="array" ref="L512">_xlfn.IFS(B512&gt;60,"Older Adult(&gt;60)",B512&gt;35,"Middle-aged Adult(36-60)",B512&gt;18,"Young Adult(19-35)",B512&gt;12,"Adolescent(13-18)",B512&gt;0,"Child(&lt;13)")</f>
        <v>Adolescent(13-18)</v>
      </c>
    </row>
    <row r="513" spans="1:12">
      <c r="A513" t="s">
        <v>10</v>
      </c>
      <c r="B513">
        <v>47</v>
      </c>
      <c r="C513">
        <v>1</v>
      </c>
      <c r="D513">
        <v>1</v>
      </c>
      <c r="E513">
        <v>0</v>
      </c>
      <c r="F513" t="s">
        <v>42</v>
      </c>
      <c r="G513" t="s">
        <v>17</v>
      </c>
      <c r="H513" t="s">
        <v>13</v>
      </c>
      <c r="I513" t="s">
        <v>14</v>
      </c>
      <c r="J513">
        <v>1</v>
      </c>
      <c r="K513" t="str">
        <f t="shared" si="7"/>
        <v>Affected</v>
      </c>
      <c r="L513" t="str" cm="1">
        <f t="array" ref="L513">_xlfn.IFS(B513&gt;60,"Older Adult(&gt;60)",B513&gt;35,"Middle-aged Adult(36-60)",B513&gt;18,"Young Adult(19-35)",B513&gt;12,"Adolescent(13-18)",B513&gt;0,"Child(&lt;13)")</f>
        <v>Middle-aged Adult(36-60)</v>
      </c>
    </row>
    <row r="514" spans="1:12">
      <c r="A514" t="s">
        <v>15</v>
      </c>
      <c r="B514">
        <v>51</v>
      </c>
      <c r="C514">
        <v>0</v>
      </c>
      <c r="D514">
        <v>0</v>
      </c>
      <c r="E514">
        <v>0</v>
      </c>
      <c r="F514" t="s">
        <v>38</v>
      </c>
      <c r="G514" t="s">
        <v>12</v>
      </c>
      <c r="H514" t="s">
        <v>19</v>
      </c>
      <c r="I514" t="s">
        <v>14</v>
      </c>
      <c r="J514">
        <v>0</v>
      </c>
      <c r="K514" t="str">
        <f t="shared" si="7"/>
        <v>Not Affected</v>
      </c>
      <c r="L514" t="str" cm="1">
        <f t="array" ref="L514">_xlfn.IFS(B514&gt;60,"Older Adult(&gt;60)",B514&gt;35,"Middle-aged Adult(36-60)",B514&gt;18,"Young Adult(19-35)",B514&gt;12,"Adolescent(13-18)",B514&gt;0,"Child(&lt;13)")</f>
        <v>Middle-aged Adult(36-60)</v>
      </c>
    </row>
    <row r="515" spans="1:12">
      <c r="A515" t="s">
        <v>15</v>
      </c>
      <c r="B515">
        <v>33</v>
      </c>
      <c r="C515">
        <v>1</v>
      </c>
      <c r="D515">
        <v>1</v>
      </c>
      <c r="E515">
        <v>1</v>
      </c>
      <c r="F515" t="s">
        <v>52</v>
      </c>
      <c r="G515" t="s">
        <v>17</v>
      </c>
      <c r="H515" t="s">
        <v>13</v>
      </c>
      <c r="I515" t="s">
        <v>14</v>
      </c>
      <c r="J515">
        <v>1</v>
      </c>
      <c r="K515" t="str">
        <f t="shared" ref="K515:K578" si="8">IF(J515=0, "Not Affected", "Affected")</f>
        <v>Affected</v>
      </c>
      <c r="L515" t="str" cm="1">
        <f t="array" ref="L515">_xlfn.IFS(B515&gt;60,"Older Adult(&gt;60)",B515&gt;35,"Middle-aged Adult(36-60)",B515&gt;18,"Young Adult(19-35)",B515&gt;12,"Adolescent(13-18)",B515&gt;0,"Child(&lt;13)")</f>
        <v>Young Adult(19-35)</v>
      </c>
    </row>
    <row r="516" spans="1:12">
      <c r="A516" t="s">
        <v>15</v>
      </c>
      <c r="B516">
        <v>51</v>
      </c>
      <c r="C516">
        <v>1</v>
      </c>
      <c r="D516">
        <v>1</v>
      </c>
      <c r="E516">
        <v>1</v>
      </c>
      <c r="F516" t="s">
        <v>22</v>
      </c>
      <c r="G516" t="s">
        <v>12</v>
      </c>
      <c r="H516" t="s">
        <v>19</v>
      </c>
      <c r="I516" t="s">
        <v>14</v>
      </c>
      <c r="J516">
        <v>1</v>
      </c>
      <c r="K516" t="str">
        <f t="shared" si="8"/>
        <v>Affected</v>
      </c>
      <c r="L516" t="str" cm="1">
        <f t="array" ref="L516">_xlfn.IFS(B516&gt;60,"Older Adult(&gt;60)",B516&gt;35,"Middle-aged Adult(36-60)",B516&gt;18,"Young Adult(19-35)",B516&gt;12,"Adolescent(13-18)",B516&gt;0,"Child(&lt;13)")</f>
        <v>Middle-aged Adult(36-60)</v>
      </c>
    </row>
    <row r="517" spans="1:12">
      <c r="A517" t="s">
        <v>10</v>
      </c>
      <c r="B517">
        <v>60</v>
      </c>
      <c r="C517">
        <v>0</v>
      </c>
      <c r="D517">
        <v>0</v>
      </c>
      <c r="E517">
        <v>1</v>
      </c>
      <c r="F517" t="s">
        <v>37</v>
      </c>
      <c r="G517" t="s">
        <v>17</v>
      </c>
      <c r="H517" t="s">
        <v>13</v>
      </c>
      <c r="I517" t="s">
        <v>14</v>
      </c>
      <c r="J517">
        <v>0</v>
      </c>
      <c r="K517" t="str">
        <f t="shared" si="8"/>
        <v>Not Affected</v>
      </c>
      <c r="L517" t="str" cm="1">
        <f t="array" ref="L517">_xlfn.IFS(B517&gt;60,"Older Adult(&gt;60)",B517&gt;35,"Middle-aged Adult(36-60)",B517&gt;18,"Young Adult(19-35)",B517&gt;12,"Adolescent(13-18)",B517&gt;0,"Child(&lt;13)")</f>
        <v>Middle-aged Adult(36-60)</v>
      </c>
    </row>
    <row r="518" spans="1:12">
      <c r="A518" t="s">
        <v>10</v>
      </c>
      <c r="B518">
        <v>23</v>
      </c>
      <c r="C518">
        <v>0</v>
      </c>
      <c r="D518">
        <v>0</v>
      </c>
      <c r="E518">
        <v>1</v>
      </c>
      <c r="F518" t="s">
        <v>51</v>
      </c>
      <c r="G518" t="s">
        <v>12</v>
      </c>
      <c r="H518" t="s">
        <v>19</v>
      </c>
      <c r="I518" t="s">
        <v>14</v>
      </c>
      <c r="J518">
        <v>0</v>
      </c>
      <c r="K518" t="str">
        <f t="shared" si="8"/>
        <v>Not Affected</v>
      </c>
      <c r="L518" t="str" cm="1">
        <f t="array" ref="L518">_xlfn.IFS(B518&gt;60,"Older Adult(&gt;60)",B518&gt;35,"Middle-aged Adult(36-60)",B518&gt;18,"Young Adult(19-35)",B518&gt;12,"Adolescent(13-18)",B518&gt;0,"Child(&lt;13)")</f>
        <v>Young Adult(19-35)</v>
      </c>
    </row>
    <row r="519" spans="1:12">
      <c r="A519" t="s">
        <v>10</v>
      </c>
      <c r="B519">
        <v>8</v>
      </c>
      <c r="C519">
        <v>0</v>
      </c>
      <c r="D519">
        <v>0</v>
      </c>
      <c r="E519">
        <v>0</v>
      </c>
      <c r="F519" t="s">
        <v>22</v>
      </c>
      <c r="G519" t="s">
        <v>17</v>
      </c>
      <c r="H519" t="s">
        <v>19</v>
      </c>
      <c r="I519" t="s">
        <v>14</v>
      </c>
      <c r="J519">
        <v>0</v>
      </c>
      <c r="K519" t="str">
        <f t="shared" si="8"/>
        <v>Not Affected</v>
      </c>
      <c r="L519" t="str" cm="1">
        <f t="array" ref="L519">_xlfn.IFS(B519&gt;60,"Older Adult(&gt;60)",B519&gt;35,"Middle-aged Adult(36-60)",B519&gt;18,"Young Adult(19-35)",B519&gt;12,"Adolescent(13-18)",B519&gt;0,"Child(&lt;13)")</f>
        <v>Child(&lt;13)</v>
      </c>
    </row>
    <row r="520" spans="1:12">
      <c r="A520" t="s">
        <v>15</v>
      </c>
      <c r="B520">
        <v>52</v>
      </c>
      <c r="C520">
        <v>0</v>
      </c>
      <c r="D520">
        <v>0</v>
      </c>
      <c r="E520">
        <v>1</v>
      </c>
      <c r="F520" t="s">
        <v>11</v>
      </c>
      <c r="G520" t="s">
        <v>12</v>
      </c>
      <c r="H520" t="s">
        <v>13</v>
      </c>
      <c r="I520" t="s">
        <v>14</v>
      </c>
      <c r="J520">
        <v>0</v>
      </c>
      <c r="K520" t="str">
        <f t="shared" si="8"/>
        <v>Not Affected</v>
      </c>
      <c r="L520" t="str" cm="1">
        <f t="array" ref="L520">_xlfn.IFS(B520&gt;60,"Older Adult(&gt;60)",B520&gt;35,"Middle-aged Adult(36-60)",B520&gt;18,"Young Adult(19-35)",B520&gt;12,"Adolescent(13-18)",B520&gt;0,"Child(&lt;13)")</f>
        <v>Middle-aged Adult(36-60)</v>
      </c>
    </row>
    <row r="521" spans="1:12">
      <c r="A521" t="s">
        <v>10</v>
      </c>
      <c r="B521">
        <v>10</v>
      </c>
      <c r="C521">
        <v>1</v>
      </c>
      <c r="D521">
        <v>1</v>
      </c>
      <c r="E521">
        <v>1</v>
      </c>
      <c r="F521" t="s">
        <v>25</v>
      </c>
      <c r="G521" t="s">
        <v>17</v>
      </c>
      <c r="H521" t="s">
        <v>24</v>
      </c>
      <c r="I521" t="s">
        <v>14</v>
      </c>
      <c r="J521">
        <v>1</v>
      </c>
      <c r="K521" t="str">
        <f t="shared" si="8"/>
        <v>Affected</v>
      </c>
      <c r="L521" t="str" cm="1">
        <f t="array" ref="L521">_xlfn.IFS(B521&gt;60,"Older Adult(&gt;60)",B521&gt;35,"Middle-aged Adult(36-60)",B521&gt;18,"Young Adult(19-35)",B521&gt;12,"Adolescent(13-18)",B521&gt;0,"Child(&lt;13)")</f>
        <v>Child(&lt;13)</v>
      </c>
    </row>
    <row r="522" spans="1:12">
      <c r="A522" t="s">
        <v>15</v>
      </c>
      <c r="B522">
        <v>22</v>
      </c>
      <c r="C522">
        <v>1</v>
      </c>
      <c r="D522">
        <v>1</v>
      </c>
      <c r="E522">
        <v>0</v>
      </c>
      <c r="F522" t="s">
        <v>25</v>
      </c>
      <c r="G522" t="s">
        <v>12</v>
      </c>
      <c r="H522" t="s">
        <v>13</v>
      </c>
      <c r="I522" t="s">
        <v>14</v>
      </c>
      <c r="J522">
        <v>1</v>
      </c>
      <c r="K522" t="str">
        <f t="shared" si="8"/>
        <v>Affected</v>
      </c>
      <c r="L522" t="str" cm="1">
        <f t="array" ref="L522">_xlfn.IFS(B522&gt;60,"Older Adult(&gt;60)",B522&gt;35,"Middle-aged Adult(36-60)",B522&gt;18,"Young Adult(19-35)",B522&gt;12,"Adolescent(13-18)",B522&gt;0,"Child(&lt;13)")</f>
        <v>Young Adult(19-35)</v>
      </c>
    </row>
    <row r="523" spans="1:12">
      <c r="A523" t="s">
        <v>15</v>
      </c>
      <c r="B523">
        <v>23</v>
      </c>
      <c r="C523">
        <v>1</v>
      </c>
      <c r="D523">
        <v>1</v>
      </c>
      <c r="E523">
        <v>0</v>
      </c>
      <c r="F523" t="s">
        <v>35</v>
      </c>
      <c r="G523" t="s">
        <v>17</v>
      </c>
      <c r="H523" t="s">
        <v>24</v>
      </c>
      <c r="I523" t="s">
        <v>14</v>
      </c>
      <c r="J523">
        <v>1</v>
      </c>
      <c r="K523" t="str">
        <f t="shared" si="8"/>
        <v>Affected</v>
      </c>
      <c r="L523" t="str" cm="1">
        <f t="array" ref="L523">_xlfn.IFS(B523&gt;60,"Older Adult(&gt;60)",B523&gt;35,"Middle-aged Adult(36-60)",B523&gt;18,"Young Adult(19-35)",B523&gt;12,"Adolescent(13-18)",B523&gt;0,"Child(&lt;13)")</f>
        <v>Young Adult(19-35)</v>
      </c>
    </row>
    <row r="524" spans="1:12">
      <c r="A524" t="s">
        <v>10</v>
      </c>
      <c r="B524">
        <v>13</v>
      </c>
      <c r="C524">
        <v>0</v>
      </c>
      <c r="D524">
        <v>0</v>
      </c>
      <c r="E524">
        <v>1</v>
      </c>
      <c r="F524" t="s">
        <v>53</v>
      </c>
      <c r="G524" t="s">
        <v>12</v>
      </c>
      <c r="H524" t="s">
        <v>24</v>
      </c>
      <c r="I524" t="s">
        <v>14</v>
      </c>
      <c r="J524">
        <v>0</v>
      </c>
      <c r="K524" t="str">
        <f t="shared" si="8"/>
        <v>Not Affected</v>
      </c>
      <c r="L524" t="str" cm="1">
        <f t="array" ref="L524">_xlfn.IFS(B524&gt;60,"Older Adult(&gt;60)",B524&gt;35,"Middle-aged Adult(36-60)",B524&gt;18,"Young Adult(19-35)",B524&gt;12,"Adolescent(13-18)",B524&gt;0,"Child(&lt;13)")</f>
        <v>Adolescent(13-18)</v>
      </c>
    </row>
    <row r="525" spans="1:12">
      <c r="A525" t="s">
        <v>10</v>
      </c>
      <c r="B525">
        <v>22</v>
      </c>
      <c r="C525">
        <v>0</v>
      </c>
      <c r="D525">
        <v>0</v>
      </c>
      <c r="E525">
        <v>0</v>
      </c>
      <c r="F525" t="s">
        <v>26</v>
      </c>
      <c r="G525" t="s">
        <v>17</v>
      </c>
      <c r="H525" t="s">
        <v>13</v>
      </c>
      <c r="I525" t="s">
        <v>14</v>
      </c>
      <c r="J525">
        <v>0</v>
      </c>
      <c r="K525" t="str">
        <f t="shared" si="8"/>
        <v>Not Affected</v>
      </c>
      <c r="L525" t="str" cm="1">
        <f t="array" ref="L525">_xlfn.IFS(B525&gt;60,"Older Adult(&gt;60)",B525&gt;35,"Middle-aged Adult(36-60)",B525&gt;18,"Young Adult(19-35)",B525&gt;12,"Adolescent(13-18)",B525&gt;0,"Child(&lt;13)")</f>
        <v>Young Adult(19-35)</v>
      </c>
    </row>
    <row r="526" spans="1:12">
      <c r="A526" t="s">
        <v>15</v>
      </c>
      <c r="B526">
        <v>64</v>
      </c>
      <c r="C526">
        <v>1</v>
      </c>
      <c r="D526">
        <v>1</v>
      </c>
      <c r="E526">
        <v>1</v>
      </c>
      <c r="F526" t="s">
        <v>33</v>
      </c>
      <c r="G526" t="s">
        <v>12</v>
      </c>
      <c r="H526" t="s">
        <v>13</v>
      </c>
      <c r="I526" t="s">
        <v>14</v>
      </c>
      <c r="J526">
        <v>1</v>
      </c>
      <c r="K526" t="str">
        <f t="shared" si="8"/>
        <v>Affected</v>
      </c>
      <c r="L526" t="str" cm="1">
        <f t="array" ref="L526">_xlfn.IFS(B526&gt;60,"Older Adult(&gt;60)",B526&gt;35,"Middle-aged Adult(36-60)",B526&gt;18,"Young Adult(19-35)",B526&gt;12,"Adolescent(13-18)",B526&gt;0,"Child(&lt;13)")</f>
        <v>Older Adult(&gt;60)</v>
      </c>
    </row>
    <row r="527" spans="1:12">
      <c r="A527" t="s">
        <v>10</v>
      </c>
      <c r="B527">
        <v>9</v>
      </c>
      <c r="C527">
        <v>0</v>
      </c>
      <c r="D527">
        <v>0</v>
      </c>
      <c r="E527">
        <v>0</v>
      </c>
      <c r="F527" t="s">
        <v>43</v>
      </c>
      <c r="G527" t="s">
        <v>17</v>
      </c>
      <c r="H527" t="s">
        <v>24</v>
      </c>
      <c r="I527" t="s">
        <v>14</v>
      </c>
      <c r="J527">
        <v>0</v>
      </c>
      <c r="K527" t="str">
        <f t="shared" si="8"/>
        <v>Not Affected</v>
      </c>
      <c r="L527" t="str" cm="1">
        <f t="array" ref="L527">_xlfn.IFS(B527&gt;60,"Older Adult(&gt;60)",B527&gt;35,"Middle-aged Adult(36-60)",B527&gt;18,"Young Adult(19-35)",B527&gt;12,"Adolescent(13-18)",B527&gt;0,"Child(&lt;13)")</f>
        <v>Child(&lt;13)</v>
      </c>
    </row>
    <row r="528" spans="1:12">
      <c r="A528" t="s">
        <v>10</v>
      </c>
      <c r="B528">
        <v>26</v>
      </c>
      <c r="C528">
        <v>0</v>
      </c>
      <c r="D528">
        <v>0</v>
      </c>
      <c r="E528">
        <v>0</v>
      </c>
      <c r="F528" t="s">
        <v>43</v>
      </c>
      <c r="G528" t="s">
        <v>12</v>
      </c>
      <c r="H528" t="s">
        <v>24</v>
      </c>
      <c r="I528" t="s">
        <v>14</v>
      </c>
      <c r="J528">
        <v>0</v>
      </c>
      <c r="K528" t="str">
        <f t="shared" si="8"/>
        <v>Not Affected</v>
      </c>
      <c r="L528" t="str" cm="1">
        <f t="array" ref="L528">_xlfn.IFS(B528&gt;60,"Older Adult(&gt;60)",B528&gt;35,"Middle-aged Adult(36-60)",B528&gt;18,"Young Adult(19-35)",B528&gt;12,"Adolescent(13-18)",B528&gt;0,"Child(&lt;13)")</f>
        <v>Young Adult(19-35)</v>
      </c>
    </row>
    <row r="529" spans="1:12">
      <c r="A529" t="s">
        <v>15</v>
      </c>
      <c r="B529">
        <v>32</v>
      </c>
      <c r="C529">
        <v>0</v>
      </c>
      <c r="D529">
        <v>0</v>
      </c>
      <c r="E529">
        <v>0</v>
      </c>
      <c r="F529" t="s">
        <v>33</v>
      </c>
      <c r="G529" t="s">
        <v>17</v>
      </c>
      <c r="H529" t="s">
        <v>24</v>
      </c>
      <c r="I529" t="s">
        <v>14</v>
      </c>
      <c r="J529">
        <v>0</v>
      </c>
      <c r="K529" t="str">
        <f t="shared" si="8"/>
        <v>Not Affected</v>
      </c>
      <c r="L529" t="str" cm="1">
        <f t="array" ref="L529">_xlfn.IFS(B529&gt;60,"Older Adult(&gt;60)",B529&gt;35,"Middle-aged Adult(36-60)",B529&gt;18,"Young Adult(19-35)",B529&gt;12,"Adolescent(13-18)",B529&gt;0,"Child(&lt;13)")</f>
        <v>Young Adult(19-35)</v>
      </c>
    </row>
    <row r="530" spans="1:12">
      <c r="A530" t="s">
        <v>10</v>
      </c>
      <c r="B530">
        <v>48</v>
      </c>
      <c r="C530">
        <v>0</v>
      </c>
      <c r="D530">
        <v>0</v>
      </c>
      <c r="E530">
        <v>1</v>
      </c>
      <c r="F530" t="s">
        <v>48</v>
      </c>
      <c r="G530" t="s">
        <v>12</v>
      </c>
      <c r="H530" t="s">
        <v>13</v>
      </c>
      <c r="I530" t="s">
        <v>14</v>
      </c>
      <c r="J530">
        <v>0</v>
      </c>
      <c r="K530" t="str">
        <f t="shared" si="8"/>
        <v>Not Affected</v>
      </c>
      <c r="L530" t="str" cm="1">
        <f t="array" ref="L530">_xlfn.IFS(B530&gt;60,"Older Adult(&gt;60)",B530&gt;35,"Middle-aged Adult(36-60)",B530&gt;18,"Young Adult(19-35)",B530&gt;12,"Adolescent(13-18)",B530&gt;0,"Child(&lt;13)")</f>
        <v>Middle-aged Adult(36-60)</v>
      </c>
    </row>
    <row r="531" spans="1:12">
      <c r="A531" t="s">
        <v>15</v>
      </c>
      <c r="B531">
        <v>48</v>
      </c>
      <c r="C531">
        <v>0</v>
      </c>
      <c r="D531">
        <v>1</v>
      </c>
      <c r="E531">
        <v>0</v>
      </c>
      <c r="F531" t="s">
        <v>28</v>
      </c>
      <c r="G531" t="s">
        <v>17</v>
      </c>
      <c r="H531" t="s">
        <v>19</v>
      </c>
      <c r="I531" t="s">
        <v>14</v>
      </c>
      <c r="J531">
        <v>1</v>
      </c>
      <c r="K531" t="str">
        <f t="shared" si="8"/>
        <v>Affected</v>
      </c>
      <c r="L531" t="str" cm="1">
        <f t="array" ref="L531">_xlfn.IFS(B531&gt;60,"Older Adult(&gt;60)",B531&gt;35,"Middle-aged Adult(36-60)",B531&gt;18,"Young Adult(19-35)",B531&gt;12,"Adolescent(13-18)",B531&gt;0,"Child(&lt;13)")</f>
        <v>Middle-aged Adult(36-60)</v>
      </c>
    </row>
    <row r="532" spans="1:12">
      <c r="A532" t="s">
        <v>10</v>
      </c>
      <c r="B532">
        <v>33</v>
      </c>
      <c r="C532">
        <v>0</v>
      </c>
      <c r="D532">
        <v>0</v>
      </c>
      <c r="E532">
        <v>0</v>
      </c>
      <c r="F532" t="s">
        <v>23</v>
      </c>
      <c r="G532" t="s">
        <v>12</v>
      </c>
      <c r="H532" t="s">
        <v>19</v>
      </c>
      <c r="I532" t="s">
        <v>14</v>
      </c>
      <c r="J532">
        <v>0</v>
      </c>
      <c r="K532" t="str">
        <f t="shared" si="8"/>
        <v>Not Affected</v>
      </c>
      <c r="L532" t="str" cm="1">
        <f t="array" ref="L532">_xlfn.IFS(B532&gt;60,"Older Adult(&gt;60)",B532&gt;35,"Middle-aged Adult(36-60)",B532&gt;18,"Young Adult(19-35)",B532&gt;12,"Adolescent(13-18)",B532&gt;0,"Child(&lt;13)")</f>
        <v>Young Adult(19-35)</v>
      </c>
    </row>
    <row r="533" spans="1:12">
      <c r="A533" t="s">
        <v>10</v>
      </c>
      <c r="B533">
        <v>36</v>
      </c>
      <c r="C533">
        <v>0</v>
      </c>
      <c r="D533">
        <v>0</v>
      </c>
      <c r="E533">
        <v>0</v>
      </c>
      <c r="F533" t="s">
        <v>45</v>
      </c>
      <c r="G533" t="s">
        <v>17</v>
      </c>
      <c r="H533" t="s">
        <v>19</v>
      </c>
      <c r="I533" t="s">
        <v>14</v>
      </c>
      <c r="J533">
        <v>0</v>
      </c>
      <c r="K533" t="str">
        <f t="shared" si="8"/>
        <v>Not Affected</v>
      </c>
      <c r="L533" t="str" cm="1">
        <f t="array" ref="L533">_xlfn.IFS(B533&gt;60,"Older Adult(&gt;60)",B533&gt;35,"Middle-aged Adult(36-60)",B533&gt;18,"Young Adult(19-35)",B533&gt;12,"Adolescent(13-18)",B533&gt;0,"Child(&lt;13)")</f>
        <v>Middle-aged Adult(36-60)</v>
      </c>
    </row>
    <row r="534" spans="1:12">
      <c r="A534" t="s">
        <v>10</v>
      </c>
      <c r="B534">
        <v>32</v>
      </c>
      <c r="C534">
        <v>0</v>
      </c>
      <c r="D534">
        <v>0</v>
      </c>
      <c r="E534">
        <v>0</v>
      </c>
      <c r="F534" t="s">
        <v>47</v>
      </c>
      <c r="G534" t="s">
        <v>12</v>
      </c>
      <c r="H534" t="s">
        <v>19</v>
      </c>
      <c r="I534" t="s">
        <v>14</v>
      </c>
      <c r="J534">
        <v>0</v>
      </c>
      <c r="K534" t="str">
        <f t="shared" si="8"/>
        <v>Not Affected</v>
      </c>
      <c r="L534" t="str" cm="1">
        <f t="array" ref="L534">_xlfn.IFS(B534&gt;60,"Older Adult(&gt;60)",B534&gt;35,"Middle-aged Adult(36-60)",B534&gt;18,"Young Adult(19-35)",B534&gt;12,"Adolescent(13-18)",B534&gt;0,"Child(&lt;13)")</f>
        <v>Young Adult(19-35)</v>
      </c>
    </row>
    <row r="535" spans="1:12">
      <c r="A535" t="s">
        <v>15</v>
      </c>
      <c r="B535">
        <v>53</v>
      </c>
      <c r="C535">
        <v>0</v>
      </c>
      <c r="D535">
        <v>0</v>
      </c>
      <c r="E535">
        <v>0</v>
      </c>
      <c r="F535" t="s">
        <v>20</v>
      </c>
      <c r="G535" t="s">
        <v>17</v>
      </c>
      <c r="H535" t="s">
        <v>13</v>
      </c>
      <c r="I535" t="s">
        <v>14</v>
      </c>
      <c r="J535">
        <v>0</v>
      </c>
      <c r="K535" t="str">
        <f t="shared" si="8"/>
        <v>Not Affected</v>
      </c>
      <c r="L535" t="str" cm="1">
        <f t="array" ref="L535">_xlfn.IFS(B535&gt;60,"Older Adult(&gt;60)",B535&gt;35,"Middle-aged Adult(36-60)",B535&gt;18,"Young Adult(19-35)",B535&gt;12,"Adolescent(13-18)",B535&gt;0,"Child(&lt;13)")</f>
        <v>Middle-aged Adult(36-60)</v>
      </c>
    </row>
    <row r="536" spans="1:12">
      <c r="A536" t="s">
        <v>10</v>
      </c>
      <c r="B536">
        <v>9</v>
      </c>
      <c r="C536">
        <v>1</v>
      </c>
      <c r="D536">
        <v>1</v>
      </c>
      <c r="E536">
        <v>0</v>
      </c>
      <c r="F536" t="s">
        <v>23</v>
      </c>
      <c r="G536" t="s">
        <v>12</v>
      </c>
      <c r="H536" t="s">
        <v>19</v>
      </c>
      <c r="I536" t="s">
        <v>14</v>
      </c>
      <c r="J536">
        <v>1</v>
      </c>
      <c r="K536" t="str">
        <f t="shared" si="8"/>
        <v>Affected</v>
      </c>
      <c r="L536" t="str" cm="1">
        <f t="array" ref="L536">_xlfn.IFS(B536&gt;60,"Older Adult(&gt;60)",B536&gt;35,"Middle-aged Adult(36-60)",B536&gt;18,"Young Adult(19-35)",B536&gt;12,"Adolescent(13-18)",B536&gt;0,"Child(&lt;13)")</f>
        <v>Child(&lt;13)</v>
      </c>
    </row>
    <row r="537" spans="1:12">
      <c r="A537" t="s">
        <v>15</v>
      </c>
      <c r="B537">
        <v>9</v>
      </c>
      <c r="C537">
        <v>1</v>
      </c>
      <c r="D537">
        <v>1</v>
      </c>
      <c r="E537">
        <v>0</v>
      </c>
      <c r="F537" t="s">
        <v>31</v>
      </c>
      <c r="G537" t="s">
        <v>17</v>
      </c>
      <c r="H537" t="s">
        <v>13</v>
      </c>
      <c r="I537" t="s">
        <v>14</v>
      </c>
      <c r="J537">
        <v>1</v>
      </c>
      <c r="K537" t="str">
        <f t="shared" si="8"/>
        <v>Affected</v>
      </c>
      <c r="L537" t="str" cm="1">
        <f t="array" ref="L537">_xlfn.IFS(B537&gt;60,"Older Adult(&gt;60)",B537&gt;35,"Middle-aged Adult(36-60)",B537&gt;18,"Young Adult(19-35)",B537&gt;12,"Adolescent(13-18)",B537&gt;0,"Child(&lt;13)")</f>
        <v>Child(&lt;13)</v>
      </c>
    </row>
    <row r="538" spans="1:12">
      <c r="A538" t="s">
        <v>15</v>
      </c>
      <c r="B538">
        <v>40</v>
      </c>
      <c r="C538">
        <v>0</v>
      </c>
      <c r="D538">
        <v>0</v>
      </c>
      <c r="E538">
        <v>1</v>
      </c>
      <c r="F538" t="s">
        <v>25</v>
      </c>
      <c r="G538" t="s">
        <v>12</v>
      </c>
      <c r="H538" t="s">
        <v>13</v>
      </c>
      <c r="I538" t="s">
        <v>14</v>
      </c>
      <c r="J538">
        <v>0</v>
      </c>
      <c r="K538" t="str">
        <f t="shared" si="8"/>
        <v>Not Affected</v>
      </c>
      <c r="L538" t="str" cm="1">
        <f t="array" ref="L538">_xlfn.IFS(B538&gt;60,"Older Adult(&gt;60)",B538&gt;35,"Middle-aged Adult(36-60)",B538&gt;18,"Young Adult(19-35)",B538&gt;12,"Adolescent(13-18)",B538&gt;0,"Child(&lt;13)")</f>
        <v>Middle-aged Adult(36-60)</v>
      </c>
    </row>
    <row r="539" spans="1:12">
      <c r="A539" t="s">
        <v>10</v>
      </c>
      <c r="B539">
        <v>55</v>
      </c>
      <c r="C539">
        <v>1</v>
      </c>
      <c r="D539">
        <v>1</v>
      </c>
      <c r="E539">
        <v>1</v>
      </c>
      <c r="F539" t="s">
        <v>38</v>
      </c>
      <c r="G539" t="s">
        <v>17</v>
      </c>
      <c r="H539" t="s">
        <v>24</v>
      </c>
      <c r="I539" t="s">
        <v>14</v>
      </c>
      <c r="J539">
        <v>1</v>
      </c>
      <c r="K539" t="str">
        <f t="shared" si="8"/>
        <v>Affected</v>
      </c>
      <c r="L539" t="str" cm="1">
        <f t="array" ref="L539">_xlfn.IFS(B539&gt;60,"Older Adult(&gt;60)",B539&gt;35,"Middle-aged Adult(36-60)",B539&gt;18,"Young Adult(19-35)",B539&gt;12,"Adolescent(13-18)",B539&gt;0,"Child(&lt;13)")</f>
        <v>Middle-aged Adult(36-60)</v>
      </c>
    </row>
    <row r="540" spans="1:12">
      <c r="A540" t="s">
        <v>15</v>
      </c>
      <c r="B540">
        <v>34</v>
      </c>
      <c r="C540">
        <v>0</v>
      </c>
      <c r="D540">
        <v>0</v>
      </c>
      <c r="E540">
        <v>1</v>
      </c>
      <c r="F540" t="s">
        <v>32</v>
      </c>
      <c r="G540" t="s">
        <v>12</v>
      </c>
      <c r="H540" t="s">
        <v>24</v>
      </c>
      <c r="I540" t="s">
        <v>14</v>
      </c>
      <c r="J540">
        <v>0</v>
      </c>
      <c r="K540" t="str">
        <f t="shared" si="8"/>
        <v>Not Affected</v>
      </c>
      <c r="L540" t="str" cm="1">
        <f t="array" ref="L540">_xlfn.IFS(B540&gt;60,"Older Adult(&gt;60)",B540&gt;35,"Middle-aged Adult(36-60)",B540&gt;18,"Young Adult(19-35)",B540&gt;12,"Adolescent(13-18)",B540&gt;0,"Child(&lt;13)")</f>
        <v>Young Adult(19-35)</v>
      </c>
    </row>
    <row r="541" spans="1:12">
      <c r="A541" t="s">
        <v>10</v>
      </c>
      <c r="B541">
        <v>19</v>
      </c>
      <c r="C541">
        <v>1</v>
      </c>
      <c r="D541">
        <v>1</v>
      </c>
      <c r="E541">
        <v>1</v>
      </c>
      <c r="F541" t="s">
        <v>33</v>
      </c>
      <c r="G541" t="s">
        <v>17</v>
      </c>
      <c r="H541" t="s">
        <v>13</v>
      </c>
      <c r="I541" t="s">
        <v>14</v>
      </c>
      <c r="J541">
        <v>1</v>
      </c>
      <c r="K541" t="str">
        <f t="shared" si="8"/>
        <v>Affected</v>
      </c>
      <c r="L541" t="str" cm="1">
        <f t="array" ref="L541">_xlfn.IFS(B541&gt;60,"Older Adult(&gt;60)",B541&gt;35,"Middle-aged Adult(36-60)",B541&gt;18,"Young Adult(19-35)",B541&gt;12,"Adolescent(13-18)",B541&gt;0,"Child(&lt;13)")</f>
        <v>Young Adult(19-35)</v>
      </c>
    </row>
    <row r="542" spans="1:12">
      <c r="A542" t="s">
        <v>15</v>
      </c>
      <c r="B542">
        <v>48</v>
      </c>
      <c r="C542">
        <v>1</v>
      </c>
      <c r="D542">
        <v>1</v>
      </c>
      <c r="E542">
        <v>1</v>
      </c>
      <c r="F542" t="s">
        <v>46</v>
      </c>
      <c r="G542" t="s">
        <v>12</v>
      </c>
      <c r="H542" t="s">
        <v>19</v>
      </c>
      <c r="I542" t="s">
        <v>14</v>
      </c>
      <c r="J542">
        <v>1</v>
      </c>
      <c r="K542" t="str">
        <f t="shared" si="8"/>
        <v>Affected</v>
      </c>
      <c r="L542" t="str" cm="1">
        <f t="array" ref="L542">_xlfn.IFS(B542&gt;60,"Older Adult(&gt;60)",B542&gt;35,"Middle-aged Adult(36-60)",B542&gt;18,"Young Adult(19-35)",B542&gt;12,"Adolescent(13-18)",B542&gt;0,"Child(&lt;13)")</f>
        <v>Middle-aged Adult(36-60)</v>
      </c>
    </row>
    <row r="543" spans="1:12">
      <c r="A543" t="s">
        <v>10</v>
      </c>
      <c r="B543">
        <v>30</v>
      </c>
      <c r="C543">
        <v>1</v>
      </c>
      <c r="D543">
        <v>1</v>
      </c>
      <c r="E543">
        <v>0</v>
      </c>
      <c r="F543" t="s">
        <v>11</v>
      </c>
      <c r="G543" t="s">
        <v>17</v>
      </c>
      <c r="H543" t="s">
        <v>13</v>
      </c>
      <c r="I543" t="s">
        <v>14</v>
      </c>
      <c r="J543">
        <v>1</v>
      </c>
      <c r="K543" t="str">
        <f t="shared" si="8"/>
        <v>Affected</v>
      </c>
      <c r="L543" t="str" cm="1">
        <f t="array" ref="L543">_xlfn.IFS(B543&gt;60,"Older Adult(&gt;60)",B543&gt;35,"Middle-aged Adult(36-60)",B543&gt;18,"Young Adult(19-35)",B543&gt;12,"Adolescent(13-18)",B543&gt;0,"Child(&lt;13)")</f>
        <v>Young Adult(19-35)</v>
      </c>
    </row>
    <row r="544" spans="1:12">
      <c r="A544" t="s">
        <v>10</v>
      </c>
      <c r="B544">
        <v>27</v>
      </c>
      <c r="C544">
        <v>0</v>
      </c>
      <c r="D544">
        <v>0</v>
      </c>
      <c r="E544">
        <v>0</v>
      </c>
      <c r="F544" t="s">
        <v>48</v>
      </c>
      <c r="G544" t="s">
        <v>12</v>
      </c>
      <c r="H544" t="s">
        <v>13</v>
      </c>
      <c r="I544" t="s">
        <v>14</v>
      </c>
      <c r="J544">
        <v>0</v>
      </c>
      <c r="K544" t="str">
        <f t="shared" si="8"/>
        <v>Not Affected</v>
      </c>
      <c r="L544" t="str" cm="1">
        <f t="array" ref="L544">_xlfn.IFS(B544&gt;60,"Older Adult(&gt;60)",B544&gt;35,"Middle-aged Adult(36-60)",B544&gt;18,"Young Adult(19-35)",B544&gt;12,"Adolescent(13-18)",B544&gt;0,"Child(&lt;13)")</f>
        <v>Young Adult(19-35)</v>
      </c>
    </row>
    <row r="545" spans="1:12">
      <c r="A545" t="s">
        <v>15</v>
      </c>
      <c r="B545">
        <v>49</v>
      </c>
      <c r="C545">
        <v>0</v>
      </c>
      <c r="D545">
        <v>0</v>
      </c>
      <c r="E545">
        <v>0</v>
      </c>
      <c r="F545" t="s">
        <v>29</v>
      </c>
      <c r="G545" t="s">
        <v>17</v>
      </c>
      <c r="H545" t="s">
        <v>19</v>
      </c>
      <c r="I545" t="s">
        <v>14</v>
      </c>
      <c r="J545">
        <v>0</v>
      </c>
      <c r="K545" t="str">
        <f t="shared" si="8"/>
        <v>Not Affected</v>
      </c>
      <c r="L545" t="str" cm="1">
        <f t="array" ref="L545">_xlfn.IFS(B545&gt;60,"Older Adult(&gt;60)",B545&gt;35,"Middle-aged Adult(36-60)",B545&gt;18,"Young Adult(19-35)",B545&gt;12,"Adolescent(13-18)",B545&gt;0,"Child(&lt;13)")</f>
        <v>Middle-aged Adult(36-60)</v>
      </c>
    </row>
    <row r="546" spans="1:12">
      <c r="A546" t="s">
        <v>10</v>
      </c>
      <c r="B546">
        <v>28</v>
      </c>
      <c r="C546">
        <v>0</v>
      </c>
      <c r="D546">
        <v>0</v>
      </c>
      <c r="E546">
        <v>1</v>
      </c>
      <c r="F546" t="s">
        <v>35</v>
      </c>
      <c r="G546" t="s">
        <v>12</v>
      </c>
      <c r="H546" t="s">
        <v>19</v>
      </c>
      <c r="I546" t="s">
        <v>14</v>
      </c>
      <c r="J546">
        <v>0</v>
      </c>
      <c r="K546" t="str">
        <f t="shared" si="8"/>
        <v>Not Affected</v>
      </c>
      <c r="L546" t="str" cm="1">
        <f t="array" ref="L546">_xlfn.IFS(B546&gt;60,"Older Adult(&gt;60)",B546&gt;35,"Middle-aged Adult(36-60)",B546&gt;18,"Young Adult(19-35)",B546&gt;12,"Adolescent(13-18)",B546&gt;0,"Child(&lt;13)")</f>
        <v>Young Adult(19-35)</v>
      </c>
    </row>
    <row r="547" spans="1:12">
      <c r="A547" t="s">
        <v>10</v>
      </c>
      <c r="B547">
        <v>29</v>
      </c>
      <c r="C547">
        <v>1</v>
      </c>
      <c r="D547">
        <v>1</v>
      </c>
      <c r="E547">
        <v>1</v>
      </c>
      <c r="F547" t="s">
        <v>42</v>
      </c>
      <c r="G547" t="s">
        <v>17</v>
      </c>
      <c r="H547" t="s">
        <v>24</v>
      </c>
      <c r="I547" t="s">
        <v>14</v>
      </c>
      <c r="J547">
        <v>1</v>
      </c>
      <c r="K547" t="str">
        <f t="shared" si="8"/>
        <v>Affected</v>
      </c>
      <c r="L547" t="str" cm="1">
        <f t="array" ref="L547">_xlfn.IFS(B547&gt;60,"Older Adult(&gt;60)",B547&gt;35,"Middle-aged Adult(36-60)",B547&gt;18,"Young Adult(19-35)",B547&gt;12,"Adolescent(13-18)",B547&gt;0,"Child(&lt;13)")</f>
        <v>Young Adult(19-35)</v>
      </c>
    </row>
    <row r="548" spans="1:12">
      <c r="A548" t="s">
        <v>15</v>
      </c>
      <c r="B548">
        <v>65</v>
      </c>
      <c r="C548">
        <v>1</v>
      </c>
      <c r="D548">
        <v>1</v>
      </c>
      <c r="E548">
        <v>0</v>
      </c>
      <c r="F548" t="s">
        <v>26</v>
      </c>
      <c r="G548" t="s">
        <v>12</v>
      </c>
      <c r="H548" t="s">
        <v>24</v>
      </c>
      <c r="I548" t="s">
        <v>14</v>
      </c>
      <c r="J548">
        <v>1</v>
      </c>
      <c r="K548" t="str">
        <f t="shared" si="8"/>
        <v>Affected</v>
      </c>
      <c r="L548" t="str" cm="1">
        <f t="array" ref="L548">_xlfn.IFS(B548&gt;60,"Older Adult(&gt;60)",B548&gt;35,"Middle-aged Adult(36-60)",B548&gt;18,"Young Adult(19-35)",B548&gt;12,"Adolescent(13-18)",B548&gt;0,"Child(&lt;13)")</f>
        <v>Older Adult(&gt;60)</v>
      </c>
    </row>
    <row r="549" spans="1:12">
      <c r="A549" t="s">
        <v>15</v>
      </c>
      <c r="B549">
        <v>36</v>
      </c>
      <c r="C549">
        <v>0</v>
      </c>
      <c r="D549">
        <v>0</v>
      </c>
      <c r="E549">
        <v>1</v>
      </c>
      <c r="F549" t="s">
        <v>45</v>
      </c>
      <c r="G549" t="s">
        <v>17</v>
      </c>
      <c r="H549" t="s">
        <v>13</v>
      </c>
      <c r="I549" t="s">
        <v>14</v>
      </c>
      <c r="J549">
        <v>0</v>
      </c>
      <c r="K549" t="str">
        <f t="shared" si="8"/>
        <v>Not Affected</v>
      </c>
      <c r="L549" t="str" cm="1">
        <f t="array" ref="L549">_xlfn.IFS(B549&gt;60,"Older Adult(&gt;60)",B549&gt;35,"Middle-aged Adult(36-60)",B549&gt;18,"Young Adult(19-35)",B549&gt;12,"Adolescent(13-18)",B549&gt;0,"Child(&lt;13)")</f>
        <v>Middle-aged Adult(36-60)</v>
      </c>
    </row>
    <row r="550" spans="1:12">
      <c r="A550" t="s">
        <v>10</v>
      </c>
      <c r="B550">
        <v>55</v>
      </c>
      <c r="C550">
        <v>1</v>
      </c>
      <c r="D550">
        <v>1</v>
      </c>
      <c r="E550">
        <v>0</v>
      </c>
      <c r="F550" t="s">
        <v>27</v>
      </c>
      <c r="G550" t="s">
        <v>12</v>
      </c>
      <c r="H550" t="s">
        <v>13</v>
      </c>
      <c r="I550" t="s">
        <v>14</v>
      </c>
      <c r="J550">
        <v>1</v>
      </c>
      <c r="K550" t="str">
        <f t="shared" si="8"/>
        <v>Affected</v>
      </c>
      <c r="L550" t="str" cm="1">
        <f t="array" ref="L550">_xlfn.IFS(B550&gt;60,"Older Adult(&gt;60)",B550&gt;35,"Middle-aged Adult(36-60)",B550&gt;18,"Young Adult(19-35)",B550&gt;12,"Adolescent(13-18)",B550&gt;0,"Child(&lt;13)")</f>
        <v>Middle-aged Adult(36-60)</v>
      </c>
    </row>
    <row r="551" spans="1:12">
      <c r="A551" t="s">
        <v>15</v>
      </c>
      <c r="B551">
        <v>22</v>
      </c>
      <c r="C551">
        <v>0</v>
      </c>
      <c r="D551">
        <v>0</v>
      </c>
      <c r="E551">
        <v>1</v>
      </c>
      <c r="F551" t="s">
        <v>42</v>
      </c>
      <c r="G551" t="s">
        <v>17</v>
      </c>
      <c r="H551" t="s">
        <v>13</v>
      </c>
      <c r="I551" t="s">
        <v>14</v>
      </c>
      <c r="J551">
        <v>0</v>
      </c>
      <c r="K551" t="str">
        <f t="shared" si="8"/>
        <v>Not Affected</v>
      </c>
      <c r="L551" t="str" cm="1">
        <f t="array" ref="L551">_xlfn.IFS(B551&gt;60,"Older Adult(&gt;60)",B551&gt;35,"Middle-aged Adult(36-60)",B551&gt;18,"Young Adult(19-35)",B551&gt;12,"Adolescent(13-18)",B551&gt;0,"Child(&lt;13)")</f>
        <v>Young Adult(19-35)</v>
      </c>
    </row>
    <row r="552" spans="1:12">
      <c r="A552" t="s">
        <v>15</v>
      </c>
      <c r="B552">
        <v>26</v>
      </c>
      <c r="C552">
        <v>1</v>
      </c>
      <c r="D552">
        <v>1</v>
      </c>
      <c r="E552">
        <v>0</v>
      </c>
      <c r="F552" t="s">
        <v>23</v>
      </c>
      <c r="G552" t="s">
        <v>12</v>
      </c>
      <c r="H552" t="s">
        <v>24</v>
      </c>
      <c r="I552" t="s">
        <v>14</v>
      </c>
      <c r="J552">
        <v>1</v>
      </c>
      <c r="K552" t="str">
        <f t="shared" si="8"/>
        <v>Affected</v>
      </c>
      <c r="L552" t="str" cm="1">
        <f t="array" ref="L552">_xlfn.IFS(B552&gt;60,"Older Adult(&gt;60)",B552&gt;35,"Middle-aged Adult(36-60)",B552&gt;18,"Young Adult(19-35)",B552&gt;12,"Adolescent(13-18)",B552&gt;0,"Child(&lt;13)")</f>
        <v>Young Adult(19-35)</v>
      </c>
    </row>
    <row r="553" spans="1:12">
      <c r="A553" t="s">
        <v>15</v>
      </c>
      <c r="B553">
        <v>31</v>
      </c>
      <c r="C553">
        <v>1</v>
      </c>
      <c r="D553">
        <v>1</v>
      </c>
      <c r="E553">
        <v>0</v>
      </c>
      <c r="F553" t="s">
        <v>39</v>
      </c>
      <c r="G553" t="s">
        <v>17</v>
      </c>
      <c r="H553" t="s">
        <v>24</v>
      </c>
      <c r="I553" t="s">
        <v>14</v>
      </c>
      <c r="J553">
        <v>1</v>
      </c>
      <c r="K553" t="str">
        <f t="shared" si="8"/>
        <v>Affected</v>
      </c>
      <c r="L553" t="str" cm="1">
        <f t="array" ref="L553">_xlfn.IFS(B553&gt;60,"Older Adult(&gt;60)",B553&gt;35,"Middle-aged Adult(36-60)",B553&gt;18,"Young Adult(19-35)",B553&gt;12,"Adolescent(13-18)",B553&gt;0,"Child(&lt;13)")</f>
        <v>Young Adult(19-35)</v>
      </c>
    </row>
    <row r="554" spans="1:12">
      <c r="A554" t="s">
        <v>10</v>
      </c>
      <c r="B554">
        <v>50</v>
      </c>
      <c r="C554">
        <v>0</v>
      </c>
      <c r="D554">
        <v>0</v>
      </c>
      <c r="E554">
        <v>0</v>
      </c>
      <c r="F554" t="s">
        <v>47</v>
      </c>
      <c r="G554" t="s">
        <v>12</v>
      </c>
      <c r="H554" t="s">
        <v>13</v>
      </c>
      <c r="I554" t="s">
        <v>14</v>
      </c>
      <c r="J554">
        <v>0</v>
      </c>
      <c r="K554" t="str">
        <f t="shared" si="8"/>
        <v>Not Affected</v>
      </c>
      <c r="L554" t="str" cm="1">
        <f t="array" ref="L554">_xlfn.IFS(B554&gt;60,"Older Adult(&gt;60)",B554&gt;35,"Middle-aged Adult(36-60)",B554&gt;18,"Young Adult(19-35)",B554&gt;12,"Adolescent(13-18)",B554&gt;0,"Child(&lt;13)")</f>
        <v>Middle-aged Adult(36-60)</v>
      </c>
    </row>
    <row r="555" spans="1:12">
      <c r="A555" t="s">
        <v>15</v>
      </c>
      <c r="B555">
        <v>25</v>
      </c>
      <c r="C555">
        <v>0</v>
      </c>
      <c r="D555">
        <v>0</v>
      </c>
      <c r="E555">
        <v>0</v>
      </c>
      <c r="F555" t="s">
        <v>36</v>
      </c>
      <c r="G555" t="s">
        <v>17</v>
      </c>
      <c r="H555" t="s">
        <v>24</v>
      </c>
      <c r="I555" t="s">
        <v>14</v>
      </c>
      <c r="J555">
        <v>0</v>
      </c>
      <c r="K555" t="str">
        <f t="shared" si="8"/>
        <v>Not Affected</v>
      </c>
      <c r="L555" t="str" cm="1">
        <f t="array" ref="L555">_xlfn.IFS(B555&gt;60,"Older Adult(&gt;60)",B555&gt;35,"Middle-aged Adult(36-60)",B555&gt;18,"Young Adult(19-35)",B555&gt;12,"Adolescent(13-18)",B555&gt;0,"Child(&lt;13)")</f>
        <v>Young Adult(19-35)</v>
      </c>
    </row>
    <row r="556" spans="1:12">
      <c r="A556" t="s">
        <v>10</v>
      </c>
      <c r="B556">
        <v>34</v>
      </c>
      <c r="C556">
        <v>1</v>
      </c>
      <c r="D556">
        <v>1</v>
      </c>
      <c r="E556">
        <v>0</v>
      </c>
      <c r="F556" t="s">
        <v>23</v>
      </c>
      <c r="G556" t="s">
        <v>12</v>
      </c>
      <c r="H556" t="s">
        <v>13</v>
      </c>
      <c r="I556" t="s">
        <v>14</v>
      </c>
      <c r="J556">
        <v>1</v>
      </c>
      <c r="K556" t="str">
        <f t="shared" si="8"/>
        <v>Affected</v>
      </c>
      <c r="L556" t="str" cm="1">
        <f t="array" ref="L556">_xlfn.IFS(B556&gt;60,"Older Adult(&gt;60)",B556&gt;35,"Middle-aged Adult(36-60)",B556&gt;18,"Young Adult(19-35)",B556&gt;12,"Adolescent(13-18)",B556&gt;0,"Child(&lt;13)")</f>
        <v>Young Adult(19-35)</v>
      </c>
    </row>
    <row r="557" spans="1:12">
      <c r="A557" t="s">
        <v>10</v>
      </c>
      <c r="B557">
        <v>54</v>
      </c>
      <c r="C557">
        <v>0</v>
      </c>
      <c r="D557">
        <v>0</v>
      </c>
      <c r="E557">
        <v>0</v>
      </c>
      <c r="F557" t="s">
        <v>11</v>
      </c>
      <c r="G557" t="s">
        <v>17</v>
      </c>
      <c r="H557" t="s">
        <v>24</v>
      </c>
      <c r="I557" t="s">
        <v>14</v>
      </c>
      <c r="J557">
        <v>0</v>
      </c>
      <c r="K557" t="str">
        <f t="shared" si="8"/>
        <v>Not Affected</v>
      </c>
      <c r="L557" t="str" cm="1">
        <f t="array" ref="L557">_xlfn.IFS(B557&gt;60,"Older Adult(&gt;60)",B557&gt;35,"Middle-aged Adult(36-60)",B557&gt;18,"Young Adult(19-35)",B557&gt;12,"Adolescent(13-18)",B557&gt;0,"Child(&lt;13)")</f>
        <v>Middle-aged Adult(36-60)</v>
      </c>
    </row>
    <row r="558" spans="1:12">
      <c r="A558" t="s">
        <v>10</v>
      </c>
      <c r="B558">
        <v>35</v>
      </c>
      <c r="C558">
        <v>1</v>
      </c>
      <c r="D558">
        <v>1</v>
      </c>
      <c r="E558">
        <v>0</v>
      </c>
      <c r="F558" t="s">
        <v>41</v>
      </c>
      <c r="G558" t="s">
        <v>12</v>
      </c>
      <c r="H558" t="s">
        <v>13</v>
      </c>
      <c r="I558" t="s">
        <v>14</v>
      </c>
      <c r="J558">
        <v>1</v>
      </c>
      <c r="K558" t="str">
        <f t="shared" si="8"/>
        <v>Affected</v>
      </c>
      <c r="L558" t="str" cm="1">
        <f t="array" ref="L558">_xlfn.IFS(B558&gt;60,"Older Adult(&gt;60)",B558&gt;35,"Middle-aged Adult(36-60)",B558&gt;18,"Young Adult(19-35)",B558&gt;12,"Adolescent(13-18)",B558&gt;0,"Child(&lt;13)")</f>
        <v>Young Adult(19-35)</v>
      </c>
    </row>
    <row r="559" spans="1:12">
      <c r="A559" t="s">
        <v>15</v>
      </c>
      <c r="B559">
        <v>29</v>
      </c>
      <c r="C559">
        <v>1</v>
      </c>
      <c r="D559">
        <v>1</v>
      </c>
      <c r="E559">
        <v>1</v>
      </c>
      <c r="F559" t="s">
        <v>28</v>
      </c>
      <c r="G559" t="s">
        <v>17</v>
      </c>
      <c r="H559" t="s">
        <v>13</v>
      </c>
      <c r="I559" t="s">
        <v>14</v>
      </c>
      <c r="J559">
        <v>1</v>
      </c>
      <c r="K559" t="str">
        <f t="shared" si="8"/>
        <v>Affected</v>
      </c>
      <c r="L559" t="str" cm="1">
        <f t="array" ref="L559">_xlfn.IFS(B559&gt;60,"Older Adult(&gt;60)",B559&gt;35,"Middle-aged Adult(36-60)",B559&gt;18,"Young Adult(19-35)",B559&gt;12,"Adolescent(13-18)",B559&gt;0,"Child(&lt;13)")</f>
        <v>Young Adult(19-35)</v>
      </c>
    </row>
    <row r="560" spans="1:12">
      <c r="A560" t="s">
        <v>10</v>
      </c>
      <c r="B560">
        <v>18</v>
      </c>
      <c r="C560">
        <v>1</v>
      </c>
      <c r="D560">
        <v>1</v>
      </c>
      <c r="E560">
        <v>0</v>
      </c>
      <c r="F560" t="s">
        <v>47</v>
      </c>
      <c r="G560" t="s">
        <v>12</v>
      </c>
      <c r="H560" t="s">
        <v>19</v>
      </c>
      <c r="I560" t="s">
        <v>14</v>
      </c>
      <c r="J560">
        <v>1</v>
      </c>
      <c r="K560" t="str">
        <f t="shared" si="8"/>
        <v>Affected</v>
      </c>
      <c r="L560" t="str" cm="1">
        <f t="array" ref="L560">_xlfn.IFS(B560&gt;60,"Older Adult(&gt;60)",B560&gt;35,"Middle-aged Adult(36-60)",B560&gt;18,"Young Adult(19-35)",B560&gt;12,"Adolescent(13-18)",B560&gt;0,"Child(&lt;13)")</f>
        <v>Adolescent(13-18)</v>
      </c>
    </row>
    <row r="561" spans="1:12">
      <c r="A561" t="s">
        <v>10</v>
      </c>
      <c r="B561">
        <v>12</v>
      </c>
      <c r="C561">
        <v>1</v>
      </c>
      <c r="D561">
        <v>1</v>
      </c>
      <c r="E561">
        <v>1</v>
      </c>
      <c r="F561" t="s">
        <v>53</v>
      </c>
      <c r="G561" t="s">
        <v>17</v>
      </c>
      <c r="H561" t="s">
        <v>24</v>
      </c>
      <c r="I561" t="s">
        <v>14</v>
      </c>
      <c r="J561">
        <v>1</v>
      </c>
      <c r="K561" t="str">
        <f t="shared" si="8"/>
        <v>Affected</v>
      </c>
      <c r="L561" t="str" cm="1">
        <f t="array" ref="L561">_xlfn.IFS(B561&gt;60,"Older Adult(&gt;60)",B561&gt;35,"Middle-aged Adult(36-60)",B561&gt;18,"Young Adult(19-35)",B561&gt;12,"Adolescent(13-18)",B561&gt;0,"Child(&lt;13)")</f>
        <v>Child(&lt;13)</v>
      </c>
    </row>
    <row r="562" spans="1:12">
      <c r="A562" t="s">
        <v>10</v>
      </c>
      <c r="B562">
        <v>19</v>
      </c>
      <c r="C562">
        <v>0</v>
      </c>
      <c r="D562">
        <v>0</v>
      </c>
      <c r="E562">
        <v>0</v>
      </c>
      <c r="F562" t="s">
        <v>40</v>
      </c>
      <c r="G562" t="s">
        <v>12</v>
      </c>
      <c r="H562" t="s">
        <v>19</v>
      </c>
      <c r="I562" t="s">
        <v>14</v>
      </c>
      <c r="J562">
        <v>0</v>
      </c>
      <c r="K562" t="str">
        <f t="shared" si="8"/>
        <v>Not Affected</v>
      </c>
      <c r="L562" t="str" cm="1">
        <f t="array" ref="L562">_xlfn.IFS(B562&gt;60,"Older Adult(&gt;60)",B562&gt;35,"Middle-aged Adult(36-60)",B562&gt;18,"Young Adult(19-35)",B562&gt;12,"Adolescent(13-18)",B562&gt;0,"Child(&lt;13)")</f>
        <v>Young Adult(19-35)</v>
      </c>
    </row>
    <row r="563" spans="1:12">
      <c r="A563" t="s">
        <v>10</v>
      </c>
      <c r="B563">
        <v>38</v>
      </c>
      <c r="C563">
        <v>1</v>
      </c>
      <c r="D563">
        <v>1</v>
      </c>
      <c r="E563">
        <v>0</v>
      </c>
      <c r="F563" t="s">
        <v>27</v>
      </c>
      <c r="G563" t="s">
        <v>17</v>
      </c>
      <c r="H563" t="s">
        <v>19</v>
      </c>
      <c r="I563" t="s">
        <v>14</v>
      </c>
      <c r="J563">
        <v>1</v>
      </c>
      <c r="K563" t="str">
        <f t="shared" si="8"/>
        <v>Affected</v>
      </c>
      <c r="L563" t="str" cm="1">
        <f t="array" ref="L563">_xlfn.IFS(B563&gt;60,"Older Adult(&gt;60)",B563&gt;35,"Middle-aged Adult(36-60)",B563&gt;18,"Young Adult(19-35)",B563&gt;12,"Adolescent(13-18)",B563&gt;0,"Child(&lt;13)")</f>
        <v>Middle-aged Adult(36-60)</v>
      </c>
    </row>
    <row r="564" spans="1:12">
      <c r="A564" t="s">
        <v>15</v>
      </c>
      <c r="B564">
        <v>46</v>
      </c>
      <c r="C564">
        <v>0</v>
      </c>
      <c r="D564">
        <v>0</v>
      </c>
      <c r="E564">
        <v>0</v>
      </c>
      <c r="F564" t="s">
        <v>42</v>
      </c>
      <c r="G564" t="s">
        <v>12</v>
      </c>
      <c r="H564" t="s">
        <v>19</v>
      </c>
      <c r="I564" t="s">
        <v>14</v>
      </c>
      <c r="J564">
        <v>0</v>
      </c>
      <c r="K564" t="str">
        <f t="shared" si="8"/>
        <v>Not Affected</v>
      </c>
      <c r="L564" t="str" cm="1">
        <f t="array" ref="L564">_xlfn.IFS(B564&gt;60,"Older Adult(&gt;60)",B564&gt;35,"Middle-aged Adult(36-60)",B564&gt;18,"Young Adult(19-35)",B564&gt;12,"Adolescent(13-18)",B564&gt;0,"Child(&lt;13)")</f>
        <v>Middle-aged Adult(36-60)</v>
      </c>
    </row>
    <row r="565" spans="1:12">
      <c r="A565" t="s">
        <v>10</v>
      </c>
      <c r="B565">
        <v>9</v>
      </c>
      <c r="C565">
        <v>1</v>
      </c>
      <c r="D565">
        <v>1</v>
      </c>
      <c r="E565">
        <v>0</v>
      </c>
      <c r="F565" t="s">
        <v>25</v>
      </c>
      <c r="G565" t="s">
        <v>17</v>
      </c>
      <c r="H565" t="s">
        <v>13</v>
      </c>
      <c r="I565" t="s">
        <v>14</v>
      </c>
      <c r="J565">
        <v>1</v>
      </c>
      <c r="K565" t="str">
        <f t="shared" si="8"/>
        <v>Affected</v>
      </c>
      <c r="L565" t="str" cm="1">
        <f t="array" ref="L565">_xlfn.IFS(B565&gt;60,"Older Adult(&gt;60)",B565&gt;35,"Middle-aged Adult(36-60)",B565&gt;18,"Young Adult(19-35)",B565&gt;12,"Adolescent(13-18)",B565&gt;0,"Child(&lt;13)")</f>
        <v>Child(&lt;13)</v>
      </c>
    </row>
    <row r="566" spans="1:12">
      <c r="A566" t="s">
        <v>10</v>
      </c>
      <c r="B566">
        <v>42</v>
      </c>
      <c r="C566">
        <v>1</v>
      </c>
      <c r="D566">
        <v>1</v>
      </c>
      <c r="E566">
        <v>1</v>
      </c>
      <c r="F566" t="s">
        <v>31</v>
      </c>
      <c r="G566" t="s">
        <v>12</v>
      </c>
      <c r="H566" t="s">
        <v>13</v>
      </c>
      <c r="I566" t="s">
        <v>14</v>
      </c>
      <c r="J566">
        <v>1</v>
      </c>
      <c r="K566" t="str">
        <f t="shared" si="8"/>
        <v>Affected</v>
      </c>
      <c r="L566" t="str" cm="1">
        <f t="array" ref="L566">_xlfn.IFS(B566&gt;60,"Older Adult(&gt;60)",B566&gt;35,"Middle-aged Adult(36-60)",B566&gt;18,"Young Adult(19-35)",B566&gt;12,"Adolescent(13-18)",B566&gt;0,"Child(&lt;13)")</f>
        <v>Middle-aged Adult(36-60)</v>
      </c>
    </row>
    <row r="567" spans="1:12">
      <c r="A567" t="s">
        <v>15</v>
      </c>
      <c r="B567">
        <v>23</v>
      </c>
      <c r="C567">
        <v>0</v>
      </c>
      <c r="D567">
        <v>0</v>
      </c>
      <c r="E567">
        <v>1</v>
      </c>
      <c r="F567" t="s">
        <v>18</v>
      </c>
      <c r="G567" t="s">
        <v>17</v>
      </c>
      <c r="H567" t="s">
        <v>13</v>
      </c>
      <c r="I567" t="s">
        <v>14</v>
      </c>
      <c r="J567">
        <v>0</v>
      </c>
      <c r="K567" t="str">
        <f t="shared" si="8"/>
        <v>Not Affected</v>
      </c>
      <c r="L567" t="str" cm="1">
        <f t="array" ref="L567">_xlfn.IFS(B567&gt;60,"Older Adult(&gt;60)",B567&gt;35,"Middle-aged Adult(36-60)",B567&gt;18,"Young Adult(19-35)",B567&gt;12,"Adolescent(13-18)",B567&gt;0,"Child(&lt;13)")</f>
        <v>Young Adult(19-35)</v>
      </c>
    </row>
    <row r="568" spans="1:12">
      <c r="A568" t="s">
        <v>10</v>
      </c>
      <c r="B568">
        <v>45</v>
      </c>
      <c r="C568">
        <v>1</v>
      </c>
      <c r="D568">
        <v>1</v>
      </c>
      <c r="E568">
        <v>1</v>
      </c>
      <c r="F568" t="s">
        <v>18</v>
      </c>
      <c r="G568" t="s">
        <v>12</v>
      </c>
      <c r="H568" t="s">
        <v>13</v>
      </c>
      <c r="I568" t="s">
        <v>14</v>
      </c>
      <c r="J568">
        <v>1</v>
      </c>
      <c r="K568" t="str">
        <f t="shared" si="8"/>
        <v>Affected</v>
      </c>
      <c r="L568" t="str" cm="1">
        <f t="array" ref="L568">_xlfn.IFS(B568&gt;60,"Older Adult(&gt;60)",B568&gt;35,"Middle-aged Adult(36-60)",B568&gt;18,"Young Adult(19-35)",B568&gt;12,"Adolescent(13-18)",B568&gt;0,"Child(&lt;13)")</f>
        <v>Middle-aged Adult(36-60)</v>
      </c>
    </row>
    <row r="569" spans="1:12">
      <c r="A569" t="s">
        <v>10</v>
      </c>
      <c r="B569">
        <v>29</v>
      </c>
      <c r="C569">
        <v>1</v>
      </c>
      <c r="D569">
        <v>1</v>
      </c>
      <c r="E569">
        <v>1</v>
      </c>
      <c r="F569" t="s">
        <v>18</v>
      </c>
      <c r="G569" t="s">
        <v>17</v>
      </c>
      <c r="H569" t="s">
        <v>13</v>
      </c>
      <c r="I569" t="s">
        <v>14</v>
      </c>
      <c r="J569">
        <v>1</v>
      </c>
      <c r="K569" t="str">
        <f t="shared" si="8"/>
        <v>Affected</v>
      </c>
      <c r="L569" t="str" cm="1">
        <f t="array" ref="L569">_xlfn.IFS(B569&gt;60,"Older Adult(&gt;60)",B569&gt;35,"Middle-aged Adult(36-60)",B569&gt;18,"Young Adult(19-35)",B569&gt;12,"Adolescent(13-18)",B569&gt;0,"Child(&lt;13)")</f>
        <v>Young Adult(19-35)</v>
      </c>
    </row>
    <row r="570" spans="1:12">
      <c r="A570" t="s">
        <v>15</v>
      </c>
      <c r="B570">
        <v>31</v>
      </c>
      <c r="C570">
        <v>1</v>
      </c>
      <c r="D570">
        <v>1</v>
      </c>
      <c r="E570">
        <v>1</v>
      </c>
      <c r="F570" t="s">
        <v>51</v>
      </c>
      <c r="G570" t="s">
        <v>12</v>
      </c>
      <c r="H570" t="s">
        <v>24</v>
      </c>
      <c r="I570" t="s">
        <v>14</v>
      </c>
      <c r="J570">
        <v>1</v>
      </c>
      <c r="K570" t="str">
        <f t="shared" si="8"/>
        <v>Affected</v>
      </c>
      <c r="L570" t="str" cm="1">
        <f t="array" ref="L570">_xlfn.IFS(B570&gt;60,"Older Adult(&gt;60)",B570&gt;35,"Middle-aged Adult(36-60)",B570&gt;18,"Young Adult(19-35)",B570&gt;12,"Adolescent(13-18)",B570&gt;0,"Child(&lt;13)")</f>
        <v>Young Adult(19-35)</v>
      </c>
    </row>
    <row r="571" spans="1:12">
      <c r="A571" t="s">
        <v>15</v>
      </c>
      <c r="B571">
        <v>34</v>
      </c>
      <c r="C571">
        <v>0</v>
      </c>
      <c r="D571">
        <v>0</v>
      </c>
      <c r="E571">
        <v>0</v>
      </c>
      <c r="F571" t="s">
        <v>36</v>
      </c>
      <c r="G571" t="s">
        <v>17</v>
      </c>
      <c r="H571" t="s">
        <v>24</v>
      </c>
      <c r="I571" t="s">
        <v>14</v>
      </c>
      <c r="J571">
        <v>0</v>
      </c>
      <c r="K571" t="str">
        <f t="shared" si="8"/>
        <v>Not Affected</v>
      </c>
      <c r="L571" t="str" cm="1">
        <f t="array" ref="L571">_xlfn.IFS(B571&gt;60,"Older Adult(&gt;60)",B571&gt;35,"Middle-aged Adult(36-60)",B571&gt;18,"Young Adult(19-35)",B571&gt;12,"Adolescent(13-18)",B571&gt;0,"Child(&lt;13)")</f>
        <v>Young Adult(19-35)</v>
      </c>
    </row>
    <row r="572" spans="1:12">
      <c r="A572" t="s">
        <v>10</v>
      </c>
      <c r="B572">
        <v>61</v>
      </c>
      <c r="C572">
        <v>1</v>
      </c>
      <c r="D572">
        <v>1</v>
      </c>
      <c r="E572">
        <v>1</v>
      </c>
      <c r="F572" t="s">
        <v>53</v>
      </c>
      <c r="G572" t="s">
        <v>12</v>
      </c>
      <c r="H572" t="s">
        <v>24</v>
      </c>
      <c r="I572" t="s">
        <v>14</v>
      </c>
      <c r="J572">
        <v>1</v>
      </c>
      <c r="K572" t="str">
        <f t="shared" si="8"/>
        <v>Affected</v>
      </c>
      <c r="L572" t="str" cm="1">
        <f t="array" ref="L572">_xlfn.IFS(B572&gt;60,"Older Adult(&gt;60)",B572&gt;35,"Middle-aged Adult(36-60)",B572&gt;18,"Young Adult(19-35)",B572&gt;12,"Adolescent(13-18)",B572&gt;0,"Child(&lt;13)")</f>
        <v>Older Adult(&gt;60)</v>
      </c>
    </row>
    <row r="573" spans="1:12">
      <c r="A573" t="s">
        <v>10</v>
      </c>
      <c r="B573">
        <v>26</v>
      </c>
      <c r="C573">
        <v>1</v>
      </c>
      <c r="D573">
        <v>1</v>
      </c>
      <c r="E573">
        <v>1</v>
      </c>
      <c r="F573" t="s">
        <v>40</v>
      </c>
      <c r="G573" t="s">
        <v>17</v>
      </c>
      <c r="H573" t="s">
        <v>24</v>
      </c>
      <c r="I573" t="s">
        <v>14</v>
      </c>
      <c r="J573">
        <v>1</v>
      </c>
      <c r="K573" t="str">
        <f t="shared" si="8"/>
        <v>Affected</v>
      </c>
      <c r="L573" t="str" cm="1">
        <f t="array" ref="L573">_xlfn.IFS(B573&gt;60,"Older Adult(&gt;60)",B573&gt;35,"Middle-aged Adult(36-60)",B573&gt;18,"Young Adult(19-35)",B573&gt;12,"Adolescent(13-18)",B573&gt;0,"Child(&lt;13)")</f>
        <v>Young Adult(19-35)</v>
      </c>
    </row>
    <row r="574" spans="1:12">
      <c r="A574" t="s">
        <v>10</v>
      </c>
      <c r="B574">
        <v>52</v>
      </c>
      <c r="C574">
        <v>0</v>
      </c>
      <c r="D574">
        <v>0</v>
      </c>
      <c r="E574">
        <v>0</v>
      </c>
      <c r="F574" t="s">
        <v>36</v>
      </c>
      <c r="G574" t="s">
        <v>12</v>
      </c>
      <c r="H574" t="s">
        <v>19</v>
      </c>
      <c r="I574" t="s">
        <v>14</v>
      </c>
      <c r="J574">
        <v>0</v>
      </c>
      <c r="K574" t="str">
        <f t="shared" si="8"/>
        <v>Not Affected</v>
      </c>
      <c r="L574" t="str" cm="1">
        <f t="array" ref="L574">_xlfn.IFS(B574&gt;60,"Older Adult(&gt;60)",B574&gt;35,"Middle-aged Adult(36-60)",B574&gt;18,"Young Adult(19-35)",B574&gt;12,"Adolescent(13-18)",B574&gt;0,"Child(&lt;13)")</f>
        <v>Middle-aged Adult(36-60)</v>
      </c>
    </row>
    <row r="575" spans="1:12">
      <c r="A575" t="s">
        <v>10</v>
      </c>
      <c r="B575">
        <v>24</v>
      </c>
      <c r="C575">
        <v>0</v>
      </c>
      <c r="D575">
        <v>0</v>
      </c>
      <c r="E575">
        <v>0</v>
      </c>
      <c r="F575" t="s">
        <v>26</v>
      </c>
      <c r="G575" t="s">
        <v>17</v>
      </c>
      <c r="H575" t="s">
        <v>24</v>
      </c>
      <c r="I575" t="s">
        <v>14</v>
      </c>
      <c r="J575">
        <v>0</v>
      </c>
      <c r="K575" t="str">
        <f t="shared" si="8"/>
        <v>Not Affected</v>
      </c>
      <c r="L575" t="str" cm="1">
        <f t="array" ref="L575">_xlfn.IFS(B575&gt;60,"Older Adult(&gt;60)",B575&gt;35,"Middle-aged Adult(36-60)",B575&gt;18,"Young Adult(19-35)",B575&gt;12,"Adolescent(13-18)",B575&gt;0,"Child(&lt;13)")</f>
        <v>Young Adult(19-35)</v>
      </c>
    </row>
    <row r="576" spans="1:12">
      <c r="A576" t="s">
        <v>15</v>
      </c>
      <c r="B576">
        <v>19</v>
      </c>
      <c r="C576">
        <v>0</v>
      </c>
      <c r="D576">
        <v>0</v>
      </c>
      <c r="E576">
        <v>1</v>
      </c>
      <c r="F576" t="s">
        <v>37</v>
      </c>
      <c r="G576" t="s">
        <v>12</v>
      </c>
      <c r="H576" t="s">
        <v>13</v>
      </c>
      <c r="I576" t="s">
        <v>14</v>
      </c>
      <c r="J576">
        <v>0</v>
      </c>
      <c r="K576" t="str">
        <f t="shared" si="8"/>
        <v>Not Affected</v>
      </c>
      <c r="L576" t="str" cm="1">
        <f t="array" ref="L576">_xlfn.IFS(B576&gt;60,"Older Adult(&gt;60)",B576&gt;35,"Middle-aged Adult(36-60)",B576&gt;18,"Young Adult(19-35)",B576&gt;12,"Adolescent(13-18)",B576&gt;0,"Child(&lt;13)")</f>
        <v>Young Adult(19-35)</v>
      </c>
    </row>
    <row r="577" spans="1:12">
      <c r="A577" t="s">
        <v>10</v>
      </c>
      <c r="B577">
        <v>47</v>
      </c>
      <c r="C577">
        <v>1</v>
      </c>
      <c r="D577">
        <v>1</v>
      </c>
      <c r="E577">
        <v>0</v>
      </c>
      <c r="F577" t="s">
        <v>48</v>
      </c>
      <c r="G577" t="s">
        <v>17</v>
      </c>
      <c r="H577" t="s">
        <v>24</v>
      </c>
      <c r="I577" t="s">
        <v>14</v>
      </c>
      <c r="J577">
        <v>1</v>
      </c>
      <c r="K577" t="str">
        <f t="shared" si="8"/>
        <v>Affected</v>
      </c>
      <c r="L577" t="str" cm="1">
        <f t="array" ref="L577">_xlfn.IFS(B577&gt;60,"Older Adult(&gt;60)",B577&gt;35,"Middle-aged Adult(36-60)",B577&gt;18,"Young Adult(19-35)",B577&gt;12,"Adolescent(13-18)",B577&gt;0,"Child(&lt;13)")</f>
        <v>Middle-aged Adult(36-60)</v>
      </c>
    </row>
    <row r="578" spans="1:12">
      <c r="A578" t="s">
        <v>10</v>
      </c>
      <c r="B578">
        <v>14</v>
      </c>
      <c r="C578">
        <v>1</v>
      </c>
      <c r="D578">
        <v>1</v>
      </c>
      <c r="E578">
        <v>1</v>
      </c>
      <c r="F578" t="s">
        <v>28</v>
      </c>
      <c r="G578" t="s">
        <v>12</v>
      </c>
      <c r="H578" t="s">
        <v>24</v>
      </c>
      <c r="I578" t="s">
        <v>14</v>
      </c>
      <c r="J578">
        <v>1</v>
      </c>
      <c r="K578" t="str">
        <f t="shared" si="8"/>
        <v>Affected</v>
      </c>
      <c r="L578" t="str" cm="1">
        <f t="array" ref="L578">_xlfn.IFS(B578&gt;60,"Older Adult(&gt;60)",B578&gt;35,"Middle-aged Adult(36-60)",B578&gt;18,"Young Adult(19-35)",B578&gt;12,"Adolescent(13-18)",B578&gt;0,"Child(&lt;13)")</f>
        <v>Adolescent(13-18)</v>
      </c>
    </row>
    <row r="579" spans="1:12">
      <c r="A579" t="s">
        <v>15</v>
      </c>
      <c r="B579">
        <v>62</v>
      </c>
      <c r="C579">
        <v>1</v>
      </c>
      <c r="D579">
        <v>1</v>
      </c>
      <c r="E579">
        <v>0</v>
      </c>
      <c r="F579" t="s">
        <v>37</v>
      </c>
      <c r="G579" t="s">
        <v>17</v>
      </c>
      <c r="H579" t="s">
        <v>24</v>
      </c>
      <c r="I579" t="s">
        <v>14</v>
      </c>
      <c r="J579">
        <v>1</v>
      </c>
      <c r="K579" t="str">
        <f t="shared" ref="K579:K642" si="9">IF(J579=0, "Not Affected", "Affected")</f>
        <v>Affected</v>
      </c>
      <c r="L579" t="str" cm="1">
        <f t="array" ref="L579">_xlfn.IFS(B579&gt;60,"Older Adult(&gt;60)",B579&gt;35,"Middle-aged Adult(36-60)",B579&gt;18,"Young Adult(19-35)",B579&gt;12,"Adolescent(13-18)",B579&gt;0,"Child(&lt;13)")</f>
        <v>Older Adult(&gt;60)</v>
      </c>
    </row>
    <row r="580" spans="1:12">
      <c r="A580" t="s">
        <v>15</v>
      </c>
      <c r="B580">
        <v>53</v>
      </c>
      <c r="C580">
        <v>1</v>
      </c>
      <c r="D580">
        <v>1</v>
      </c>
      <c r="E580">
        <v>1</v>
      </c>
      <c r="F580" t="s">
        <v>11</v>
      </c>
      <c r="G580" t="s">
        <v>12</v>
      </c>
      <c r="H580" t="s">
        <v>24</v>
      </c>
      <c r="I580" t="s">
        <v>14</v>
      </c>
      <c r="J580">
        <v>1</v>
      </c>
      <c r="K580" t="str">
        <f t="shared" si="9"/>
        <v>Affected</v>
      </c>
      <c r="L580" t="str" cm="1">
        <f t="array" ref="L580">_xlfn.IFS(B580&gt;60,"Older Adult(&gt;60)",B580&gt;35,"Middle-aged Adult(36-60)",B580&gt;18,"Young Adult(19-35)",B580&gt;12,"Adolescent(13-18)",B580&gt;0,"Child(&lt;13)")</f>
        <v>Middle-aged Adult(36-60)</v>
      </c>
    </row>
    <row r="581" spans="1:12">
      <c r="A581" t="s">
        <v>15</v>
      </c>
      <c r="B581">
        <v>49</v>
      </c>
      <c r="C581">
        <v>0</v>
      </c>
      <c r="D581">
        <v>0</v>
      </c>
      <c r="E581">
        <v>1</v>
      </c>
      <c r="F581" t="s">
        <v>47</v>
      </c>
      <c r="G581" t="s">
        <v>17</v>
      </c>
      <c r="H581" t="s">
        <v>24</v>
      </c>
      <c r="I581" t="s">
        <v>14</v>
      </c>
      <c r="J581">
        <v>0</v>
      </c>
      <c r="K581" t="str">
        <f t="shared" si="9"/>
        <v>Not Affected</v>
      </c>
      <c r="L581" t="str" cm="1">
        <f t="array" ref="L581">_xlfn.IFS(B581&gt;60,"Older Adult(&gt;60)",B581&gt;35,"Middle-aged Adult(36-60)",B581&gt;18,"Young Adult(19-35)",B581&gt;12,"Adolescent(13-18)",B581&gt;0,"Child(&lt;13)")</f>
        <v>Middle-aged Adult(36-60)</v>
      </c>
    </row>
    <row r="582" spans="1:12">
      <c r="A582" t="s">
        <v>10</v>
      </c>
      <c r="B582">
        <v>51</v>
      </c>
      <c r="C582">
        <v>0</v>
      </c>
      <c r="D582">
        <v>0</v>
      </c>
      <c r="E582">
        <v>1</v>
      </c>
      <c r="F582" t="s">
        <v>29</v>
      </c>
      <c r="G582" t="s">
        <v>12</v>
      </c>
      <c r="H582" t="s">
        <v>13</v>
      </c>
      <c r="I582" t="s">
        <v>14</v>
      </c>
      <c r="J582">
        <v>0</v>
      </c>
      <c r="K582" t="str">
        <f t="shared" si="9"/>
        <v>Not Affected</v>
      </c>
      <c r="L582" t="str" cm="1">
        <f t="array" ref="L582">_xlfn.IFS(B582&gt;60,"Older Adult(&gt;60)",B582&gt;35,"Middle-aged Adult(36-60)",B582&gt;18,"Young Adult(19-35)",B582&gt;12,"Adolescent(13-18)",B582&gt;0,"Child(&lt;13)")</f>
        <v>Middle-aged Adult(36-60)</v>
      </c>
    </row>
    <row r="583" spans="1:12">
      <c r="A583" t="s">
        <v>10</v>
      </c>
      <c r="B583">
        <v>61</v>
      </c>
      <c r="C583">
        <v>0</v>
      </c>
      <c r="D583">
        <v>0</v>
      </c>
      <c r="E583">
        <v>0</v>
      </c>
      <c r="F583" t="s">
        <v>35</v>
      </c>
      <c r="G583" t="s">
        <v>17</v>
      </c>
      <c r="H583" t="s">
        <v>13</v>
      </c>
      <c r="I583" t="s">
        <v>14</v>
      </c>
      <c r="J583">
        <v>0</v>
      </c>
      <c r="K583" t="str">
        <f t="shared" si="9"/>
        <v>Not Affected</v>
      </c>
      <c r="L583" t="str" cm="1">
        <f t="array" ref="L583">_xlfn.IFS(B583&gt;60,"Older Adult(&gt;60)",B583&gt;35,"Middle-aged Adult(36-60)",B583&gt;18,"Young Adult(19-35)",B583&gt;12,"Adolescent(13-18)",B583&gt;0,"Child(&lt;13)")</f>
        <v>Older Adult(&gt;60)</v>
      </c>
    </row>
    <row r="584" spans="1:12">
      <c r="A584" t="s">
        <v>10</v>
      </c>
      <c r="B584">
        <v>35</v>
      </c>
      <c r="C584">
        <v>1</v>
      </c>
      <c r="D584">
        <v>1</v>
      </c>
      <c r="E584">
        <v>0</v>
      </c>
      <c r="F584" t="s">
        <v>35</v>
      </c>
      <c r="G584" t="s">
        <v>12</v>
      </c>
      <c r="H584" t="s">
        <v>13</v>
      </c>
      <c r="I584" t="s">
        <v>14</v>
      </c>
      <c r="J584">
        <v>1</v>
      </c>
      <c r="K584" t="str">
        <f t="shared" si="9"/>
        <v>Affected</v>
      </c>
      <c r="L584" t="str" cm="1">
        <f t="array" ref="L584">_xlfn.IFS(B584&gt;60,"Older Adult(&gt;60)",B584&gt;35,"Middle-aged Adult(36-60)",B584&gt;18,"Young Adult(19-35)",B584&gt;12,"Adolescent(13-18)",B584&gt;0,"Child(&lt;13)")</f>
        <v>Young Adult(19-35)</v>
      </c>
    </row>
    <row r="585" spans="1:12">
      <c r="A585" t="s">
        <v>10</v>
      </c>
      <c r="B585">
        <v>45</v>
      </c>
      <c r="C585">
        <v>0</v>
      </c>
      <c r="D585">
        <v>0</v>
      </c>
      <c r="E585">
        <v>1</v>
      </c>
      <c r="F585" t="s">
        <v>50</v>
      </c>
      <c r="G585" t="s">
        <v>17</v>
      </c>
      <c r="H585" t="s">
        <v>24</v>
      </c>
      <c r="I585" t="s">
        <v>14</v>
      </c>
      <c r="J585">
        <v>0</v>
      </c>
      <c r="K585" t="str">
        <f t="shared" si="9"/>
        <v>Not Affected</v>
      </c>
      <c r="L585" t="str" cm="1">
        <f t="array" ref="L585">_xlfn.IFS(B585&gt;60,"Older Adult(&gt;60)",B585&gt;35,"Middle-aged Adult(36-60)",B585&gt;18,"Young Adult(19-35)",B585&gt;12,"Adolescent(13-18)",B585&gt;0,"Child(&lt;13)")</f>
        <v>Middle-aged Adult(36-60)</v>
      </c>
    </row>
    <row r="586" spans="1:12">
      <c r="A586" t="s">
        <v>15</v>
      </c>
      <c r="B586">
        <v>25</v>
      </c>
      <c r="C586">
        <v>1</v>
      </c>
      <c r="D586">
        <v>1</v>
      </c>
      <c r="E586">
        <v>1</v>
      </c>
      <c r="F586" t="s">
        <v>39</v>
      </c>
      <c r="G586" t="s">
        <v>12</v>
      </c>
      <c r="H586" t="s">
        <v>13</v>
      </c>
      <c r="I586" t="s">
        <v>14</v>
      </c>
      <c r="J586">
        <v>1</v>
      </c>
      <c r="K586" t="str">
        <f t="shared" si="9"/>
        <v>Affected</v>
      </c>
      <c r="L586" t="str" cm="1">
        <f t="array" ref="L586">_xlfn.IFS(B586&gt;60,"Older Adult(&gt;60)",B586&gt;35,"Middle-aged Adult(36-60)",B586&gt;18,"Young Adult(19-35)",B586&gt;12,"Adolescent(13-18)",B586&gt;0,"Child(&lt;13)")</f>
        <v>Young Adult(19-35)</v>
      </c>
    </row>
    <row r="587" spans="1:12">
      <c r="A587" t="s">
        <v>10</v>
      </c>
      <c r="B587">
        <v>53</v>
      </c>
      <c r="C587">
        <v>1</v>
      </c>
      <c r="D587">
        <v>1</v>
      </c>
      <c r="E587">
        <v>0</v>
      </c>
      <c r="F587" t="s">
        <v>33</v>
      </c>
      <c r="G587" t="s">
        <v>17</v>
      </c>
      <c r="H587" t="s">
        <v>13</v>
      </c>
      <c r="I587" t="s">
        <v>14</v>
      </c>
      <c r="J587">
        <v>1</v>
      </c>
      <c r="K587" t="str">
        <f t="shared" si="9"/>
        <v>Affected</v>
      </c>
      <c r="L587" t="str" cm="1">
        <f t="array" ref="L587">_xlfn.IFS(B587&gt;60,"Older Adult(&gt;60)",B587&gt;35,"Middle-aged Adult(36-60)",B587&gt;18,"Young Adult(19-35)",B587&gt;12,"Adolescent(13-18)",B587&gt;0,"Child(&lt;13)")</f>
        <v>Middle-aged Adult(36-60)</v>
      </c>
    </row>
    <row r="588" spans="1:12">
      <c r="A588" t="s">
        <v>10</v>
      </c>
      <c r="B588">
        <v>37</v>
      </c>
      <c r="C588">
        <v>1</v>
      </c>
      <c r="D588">
        <v>1</v>
      </c>
      <c r="E588">
        <v>0</v>
      </c>
      <c r="F588" t="s">
        <v>21</v>
      </c>
      <c r="G588" t="s">
        <v>12</v>
      </c>
      <c r="H588" t="s">
        <v>13</v>
      </c>
      <c r="I588" t="s">
        <v>14</v>
      </c>
      <c r="J588">
        <v>1</v>
      </c>
      <c r="K588" t="str">
        <f t="shared" si="9"/>
        <v>Affected</v>
      </c>
      <c r="L588" t="str" cm="1">
        <f t="array" ref="L588">_xlfn.IFS(B588&gt;60,"Older Adult(&gt;60)",B588&gt;35,"Middle-aged Adult(36-60)",B588&gt;18,"Young Adult(19-35)",B588&gt;12,"Adolescent(13-18)",B588&gt;0,"Child(&lt;13)")</f>
        <v>Middle-aged Adult(36-60)</v>
      </c>
    </row>
    <row r="589" spans="1:12">
      <c r="A589" t="s">
        <v>15</v>
      </c>
      <c r="B589">
        <v>25</v>
      </c>
      <c r="C589">
        <v>0</v>
      </c>
      <c r="D589">
        <v>0</v>
      </c>
      <c r="E589">
        <v>1</v>
      </c>
      <c r="F589" t="s">
        <v>52</v>
      </c>
      <c r="G589" t="s">
        <v>17</v>
      </c>
      <c r="H589" t="s">
        <v>13</v>
      </c>
      <c r="I589" t="s">
        <v>14</v>
      </c>
      <c r="J589">
        <v>0</v>
      </c>
      <c r="K589" t="str">
        <f t="shared" si="9"/>
        <v>Not Affected</v>
      </c>
      <c r="L589" t="str" cm="1">
        <f t="array" ref="L589">_xlfn.IFS(B589&gt;60,"Older Adult(&gt;60)",B589&gt;35,"Middle-aged Adult(36-60)",B589&gt;18,"Young Adult(19-35)",B589&gt;12,"Adolescent(13-18)",B589&gt;0,"Child(&lt;13)")</f>
        <v>Young Adult(19-35)</v>
      </c>
    </row>
    <row r="590" spans="1:12">
      <c r="A590" t="s">
        <v>15</v>
      </c>
      <c r="B590">
        <v>38</v>
      </c>
      <c r="C590">
        <v>1</v>
      </c>
      <c r="D590">
        <v>1</v>
      </c>
      <c r="E590">
        <v>1</v>
      </c>
      <c r="F590" t="s">
        <v>38</v>
      </c>
      <c r="G590" t="s">
        <v>12</v>
      </c>
      <c r="H590" t="s">
        <v>24</v>
      </c>
      <c r="I590" t="s">
        <v>14</v>
      </c>
      <c r="J590">
        <v>1</v>
      </c>
      <c r="K590" t="str">
        <f t="shared" si="9"/>
        <v>Affected</v>
      </c>
      <c r="L590" t="str" cm="1">
        <f t="array" ref="L590">_xlfn.IFS(B590&gt;60,"Older Adult(&gt;60)",B590&gt;35,"Middle-aged Adult(36-60)",B590&gt;18,"Young Adult(19-35)",B590&gt;12,"Adolescent(13-18)",B590&gt;0,"Child(&lt;13)")</f>
        <v>Middle-aged Adult(36-60)</v>
      </c>
    </row>
    <row r="591" spans="1:12">
      <c r="A591" t="s">
        <v>10</v>
      </c>
      <c r="B591">
        <v>50</v>
      </c>
      <c r="C591">
        <v>1</v>
      </c>
      <c r="D591">
        <v>1</v>
      </c>
      <c r="E591">
        <v>0</v>
      </c>
      <c r="F591" t="s">
        <v>52</v>
      </c>
      <c r="G591" t="s">
        <v>17</v>
      </c>
      <c r="H591" t="s">
        <v>19</v>
      </c>
      <c r="I591" t="s">
        <v>14</v>
      </c>
      <c r="J591">
        <v>1</v>
      </c>
      <c r="K591" t="str">
        <f t="shared" si="9"/>
        <v>Affected</v>
      </c>
      <c r="L591" t="str" cm="1">
        <f t="array" ref="L591">_xlfn.IFS(B591&gt;60,"Older Adult(&gt;60)",B591&gt;35,"Middle-aged Adult(36-60)",B591&gt;18,"Young Adult(19-35)",B591&gt;12,"Adolescent(13-18)",B591&gt;0,"Child(&lt;13)")</f>
        <v>Middle-aged Adult(36-60)</v>
      </c>
    </row>
    <row r="592" spans="1:12">
      <c r="A592" t="s">
        <v>15</v>
      </c>
      <c r="B592">
        <v>30</v>
      </c>
      <c r="C592">
        <v>1</v>
      </c>
      <c r="D592">
        <v>1</v>
      </c>
      <c r="E592">
        <v>1</v>
      </c>
      <c r="F592" t="s">
        <v>48</v>
      </c>
      <c r="G592" t="s">
        <v>12</v>
      </c>
      <c r="H592" t="s">
        <v>13</v>
      </c>
      <c r="I592" t="s">
        <v>14</v>
      </c>
      <c r="J592">
        <v>1</v>
      </c>
      <c r="K592" t="str">
        <f t="shared" si="9"/>
        <v>Affected</v>
      </c>
      <c r="L592" t="str" cm="1">
        <f t="array" ref="L592">_xlfn.IFS(B592&gt;60,"Older Adult(&gt;60)",B592&gt;35,"Middle-aged Adult(36-60)",B592&gt;18,"Young Adult(19-35)",B592&gt;12,"Adolescent(13-18)",B592&gt;0,"Child(&lt;13)")</f>
        <v>Young Adult(19-35)</v>
      </c>
    </row>
    <row r="593" spans="1:12">
      <c r="A593" t="s">
        <v>10</v>
      </c>
      <c r="B593">
        <v>20</v>
      </c>
      <c r="C593">
        <v>0</v>
      </c>
      <c r="D593">
        <v>0</v>
      </c>
      <c r="E593">
        <v>0</v>
      </c>
      <c r="F593" t="s">
        <v>16</v>
      </c>
      <c r="G593" t="s">
        <v>17</v>
      </c>
      <c r="H593" t="s">
        <v>13</v>
      </c>
      <c r="I593" t="s">
        <v>14</v>
      </c>
      <c r="J593">
        <v>0</v>
      </c>
      <c r="K593" t="str">
        <f t="shared" si="9"/>
        <v>Not Affected</v>
      </c>
      <c r="L593" t="str" cm="1">
        <f t="array" ref="L593">_xlfn.IFS(B593&gt;60,"Older Adult(&gt;60)",B593&gt;35,"Middle-aged Adult(36-60)",B593&gt;18,"Young Adult(19-35)",B593&gt;12,"Adolescent(13-18)",B593&gt;0,"Child(&lt;13)")</f>
        <v>Young Adult(19-35)</v>
      </c>
    </row>
    <row r="594" spans="1:12">
      <c r="A594" t="s">
        <v>15</v>
      </c>
      <c r="B594">
        <v>44</v>
      </c>
      <c r="C594">
        <v>1</v>
      </c>
      <c r="D594">
        <v>1</v>
      </c>
      <c r="E594">
        <v>0</v>
      </c>
      <c r="F594" t="s">
        <v>31</v>
      </c>
      <c r="G594" t="s">
        <v>12</v>
      </c>
      <c r="H594" t="s">
        <v>19</v>
      </c>
      <c r="I594" t="s">
        <v>14</v>
      </c>
      <c r="J594">
        <v>1</v>
      </c>
      <c r="K594" t="str">
        <f t="shared" si="9"/>
        <v>Affected</v>
      </c>
      <c r="L594" t="str" cm="1">
        <f t="array" ref="L594">_xlfn.IFS(B594&gt;60,"Older Adult(&gt;60)",B594&gt;35,"Middle-aged Adult(36-60)",B594&gt;18,"Young Adult(19-35)",B594&gt;12,"Adolescent(13-18)",B594&gt;0,"Child(&lt;13)")</f>
        <v>Middle-aged Adult(36-60)</v>
      </c>
    </row>
    <row r="595" spans="1:12">
      <c r="A595" t="s">
        <v>10</v>
      </c>
      <c r="B595">
        <v>57</v>
      </c>
      <c r="C595">
        <v>0</v>
      </c>
      <c r="D595">
        <v>0</v>
      </c>
      <c r="E595">
        <v>1</v>
      </c>
      <c r="F595" t="s">
        <v>44</v>
      </c>
      <c r="G595" t="s">
        <v>17</v>
      </c>
      <c r="H595" t="s">
        <v>13</v>
      </c>
      <c r="I595" t="s">
        <v>14</v>
      </c>
      <c r="J595">
        <v>0</v>
      </c>
      <c r="K595" t="str">
        <f t="shared" si="9"/>
        <v>Not Affected</v>
      </c>
      <c r="L595" t="str" cm="1">
        <f t="array" ref="L595">_xlfn.IFS(B595&gt;60,"Older Adult(&gt;60)",B595&gt;35,"Middle-aged Adult(36-60)",B595&gt;18,"Young Adult(19-35)",B595&gt;12,"Adolescent(13-18)",B595&gt;0,"Child(&lt;13)")</f>
        <v>Middle-aged Adult(36-60)</v>
      </c>
    </row>
    <row r="596" spans="1:12">
      <c r="A596" t="s">
        <v>15</v>
      </c>
      <c r="B596">
        <v>19</v>
      </c>
      <c r="C596">
        <v>1</v>
      </c>
      <c r="D596">
        <v>1</v>
      </c>
      <c r="E596">
        <v>1</v>
      </c>
      <c r="F596" t="s">
        <v>34</v>
      </c>
      <c r="G596" t="s">
        <v>12</v>
      </c>
      <c r="H596" t="s">
        <v>19</v>
      </c>
      <c r="I596" t="s">
        <v>14</v>
      </c>
      <c r="J596">
        <v>1</v>
      </c>
      <c r="K596" t="str">
        <f t="shared" si="9"/>
        <v>Affected</v>
      </c>
      <c r="L596" t="str" cm="1">
        <f t="array" ref="L596">_xlfn.IFS(B596&gt;60,"Older Adult(&gt;60)",B596&gt;35,"Middle-aged Adult(36-60)",B596&gt;18,"Young Adult(19-35)",B596&gt;12,"Adolescent(13-18)",B596&gt;0,"Child(&lt;13)")</f>
        <v>Young Adult(19-35)</v>
      </c>
    </row>
    <row r="597" spans="1:12">
      <c r="A597" t="s">
        <v>10</v>
      </c>
      <c r="B597">
        <v>34</v>
      </c>
      <c r="C597">
        <v>0</v>
      </c>
      <c r="D597">
        <v>0</v>
      </c>
      <c r="E597">
        <v>0</v>
      </c>
      <c r="F597" t="s">
        <v>42</v>
      </c>
      <c r="G597" t="s">
        <v>17</v>
      </c>
      <c r="H597" t="s">
        <v>19</v>
      </c>
      <c r="I597" t="s">
        <v>14</v>
      </c>
      <c r="J597">
        <v>0</v>
      </c>
      <c r="K597" t="str">
        <f t="shared" si="9"/>
        <v>Not Affected</v>
      </c>
      <c r="L597" t="str" cm="1">
        <f t="array" ref="L597">_xlfn.IFS(B597&gt;60,"Older Adult(&gt;60)",B597&gt;35,"Middle-aged Adult(36-60)",B597&gt;18,"Young Adult(19-35)",B597&gt;12,"Adolescent(13-18)",B597&gt;0,"Child(&lt;13)")</f>
        <v>Young Adult(19-35)</v>
      </c>
    </row>
    <row r="598" spans="1:12">
      <c r="A598" t="s">
        <v>10</v>
      </c>
      <c r="B598">
        <v>42</v>
      </c>
      <c r="C598">
        <v>1</v>
      </c>
      <c r="D598">
        <v>1</v>
      </c>
      <c r="E598">
        <v>1</v>
      </c>
      <c r="F598" t="s">
        <v>30</v>
      </c>
      <c r="G598" t="s">
        <v>12</v>
      </c>
      <c r="H598" t="s">
        <v>19</v>
      </c>
      <c r="I598" t="s">
        <v>14</v>
      </c>
      <c r="J598">
        <v>1</v>
      </c>
      <c r="K598" t="str">
        <f t="shared" si="9"/>
        <v>Affected</v>
      </c>
      <c r="L598" t="str" cm="1">
        <f t="array" ref="L598">_xlfn.IFS(B598&gt;60,"Older Adult(&gt;60)",B598&gt;35,"Middle-aged Adult(36-60)",B598&gt;18,"Young Adult(19-35)",B598&gt;12,"Adolescent(13-18)",B598&gt;0,"Child(&lt;13)")</f>
        <v>Middle-aged Adult(36-60)</v>
      </c>
    </row>
    <row r="599" spans="1:12">
      <c r="A599" t="s">
        <v>10</v>
      </c>
      <c r="B599">
        <v>48</v>
      </c>
      <c r="C599">
        <v>1</v>
      </c>
      <c r="D599">
        <v>1</v>
      </c>
      <c r="E599">
        <v>1</v>
      </c>
      <c r="F599" t="s">
        <v>49</v>
      </c>
      <c r="G599" t="s">
        <v>17</v>
      </c>
      <c r="H599" t="s">
        <v>19</v>
      </c>
      <c r="I599" t="s">
        <v>14</v>
      </c>
      <c r="J599">
        <v>1</v>
      </c>
      <c r="K599" t="str">
        <f t="shared" si="9"/>
        <v>Affected</v>
      </c>
      <c r="L599" t="str" cm="1">
        <f t="array" ref="L599">_xlfn.IFS(B599&gt;60,"Older Adult(&gt;60)",B599&gt;35,"Middle-aged Adult(36-60)",B599&gt;18,"Young Adult(19-35)",B599&gt;12,"Adolescent(13-18)",B599&gt;0,"Child(&lt;13)")</f>
        <v>Middle-aged Adult(36-60)</v>
      </c>
    </row>
    <row r="600" spans="1:12">
      <c r="A600" t="s">
        <v>15</v>
      </c>
      <c r="B600">
        <v>45</v>
      </c>
      <c r="C600">
        <v>1</v>
      </c>
      <c r="D600">
        <v>1</v>
      </c>
      <c r="E600">
        <v>1</v>
      </c>
      <c r="F600" t="s">
        <v>28</v>
      </c>
      <c r="G600" t="s">
        <v>12</v>
      </c>
      <c r="H600" t="s">
        <v>13</v>
      </c>
      <c r="I600" t="s">
        <v>14</v>
      </c>
      <c r="J600">
        <v>1</v>
      </c>
      <c r="K600" t="str">
        <f t="shared" si="9"/>
        <v>Affected</v>
      </c>
      <c r="L600" t="str" cm="1">
        <f t="array" ref="L600">_xlfn.IFS(B600&gt;60,"Older Adult(&gt;60)",B600&gt;35,"Middle-aged Adult(36-60)",B600&gt;18,"Young Adult(19-35)",B600&gt;12,"Adolescent(13-18)",B600&gt;0,"Child(&lt;13)")</f>
        <v>Middle-aged Adult(36-60)</v>
      </c>
    </row>
    <row r="601" spans="1:12">
      <c r="A601" t="s">
        <v>10</v>
      </c>
      <c r="B601">
        <v>48</v>
      </c>
      <c r="C601">
        <v>0</v>
      </c>
      <c r="D601">
        <v>0</v>
      </c>
      <c r="E601">
        <v>1</v>
      </c>
      <c r="F601" t="s">
        <v>45</v>
      </c>
      <c r="G601" t="s">
        <v>17</v>
      </c>
      <c r="H601" t="s">
        <v>24</v>
      </c>
      <c r="I601" t="s">
        <v>14</v>
      </c>
      <c r="J601">
        <v>0</v>
      </c>
      <c r="K601" t="str">
        <f t="shared" si="9"/>
        <v>Not Affected</v>
      </c>
      <c r="L601" t="str" cm="1">
        <f t="array" ref="L601">_xlfn.IFS(B601&gt;60,"Older Adult(&gt;60)",B601&gt;35,"Middle-aged Adult(36-60)",B601&gt;18,"Young Adult(19-35)",B601&gt;12,"Adolescent(13-18)",B601&gt;0,"Child(&lt;13)")</f>
        <v>Middle-aged Adult(36-60)</v>
      </c>
    </row>
    <row r="602" spans="1:12">
      <c r="A602" t="s">
        <v>10</v>
      </c>
      <c r="B602">
        <v>50</v>
      </c>
      <c r="C602">
        <v>1</v>
      </c>
      <c r="D602">
        <v>1</v>
      </c>
      <c r="E602">
        <v>0</v>
      </c>
      <c r="F602" t="s">
        <v>23</v>
      </c>
      <c r="G602" t="s">
        <v>12</v>
      </c>
      <c r="H602" t="s">
        <v>19</v>
      </c>
      <c r="I602" t="s">
        <v>14</v>
      </c>
      <c r="J602">
        <v>1</v>
      </c>
      <c r="K602" t="str">
        <f t="shared" si="9"/>
        <v>Affected</v>
      </c>
      <c r="L602" t="str" cm="1">
        <f t="array" ref="L602">_xlfn.IFS(B602&gt;60,"Older Adult(&gt;60)",B602&gt;35,"Middle-aged Adult(36-60)",B602&gt;18,"Young Adult(19-35)",B602&gt;12,"Adolescent(13-18)",B602&gt;0,"Child(&lt;13)")</f>
        <v>Middle-aged Adult(36-60)</v>
      </c>
    </row>
    <row r="603" spans="1:12">
      <c r="A603" t="s">
        <v>10</v>
      </c>
      <c r="B603">
        <v>37</v>
      </c>
      <c r="C603">
        <v>0</v>
      </c>
      <c r="D603">
        <v>0</v>
      </c>
      <c r="E603">
        <v>1</v>
      </c>
      <c r="F603" t="s">
        <v>25</v>
      </c>
      <c r="G603" t="s">
        <v>17</v>
      </c>
      <c r="H603" t="s">
        <v>13</v>
      </c>
      <c r="I603" t="s">
        <v>14</v>
      </c>
      <c r="J603">
        <v>0</v>
      </c>
      <c r="K603" t="str">
        <f t="shared" si="9"/>
        <v>Not Affected</v>
      </c>
      <c r="L603" t="str" cm="1">
        <f t="array" ref="L603">_xlfn.IFS(B603&gt;60,"Older Adult(&gt;60)",B603&gt;35,"Middle-aged Adult(36-60)",B603&gt;18,"Young Adult(19-35)",B603&gt;12,"Adolescent(13-18)",B603&gt;0,"Child(&lt;13)")</f>
        <v>Middle-aged Adult(36-60)</v>
      </c>
    </row>
    <row r="604" spans="1:12">
      <c r="A604" t="s">
        <v>10</v>
      </c>
      <c r="B604">
        <v>28</v>
      </c>
      <c r="C604">
        <v>1</v>
      </c>
      <c r="D604">
        <v>1</v>
      </c>
      <c r="E604">
        <v>0</v>
      </c>
      <c r="F604" t="s">
        <v>37</v>
      </c>
      <c r="G604" t="s">
        <v>12</v>
      </c>
      <c r="H604" t="s">
        <v>24</v>
      </c>
      <c r="I604" t="s">
        <v>14</v>
      </c>
      <c r="J604">
        <v>1</v>
      </c>
      <c r="K604" t="str">
        <f t="shared" si="9"/>
        <v>Affected</v>
      </c>
      <c r="L604" t="str" cm="1">
        <f t="array" ref="L604">_xlfn.IFS(B604&gt;60,"Older Adult(&gt;60)",B604&gt;35,"Middle-aged Adult(36-60)",B604&gt;18,"Young Adult(19-35)",B604&gt;12,"Adolescent(13-18)",B604&gt;0,"Child(&lt;13)")</f>
        <v>Young Adult(19-35)</v>
      </c>
    </row>
    <row r="605" spans="1:12">
      <c r="A605" t="s">
        <v>15</v>
      </c>
      <c r="B605">
        <v>51</v>
      </c>
      <c r="C605">
        <v>1</v>
      </c>
      <c r="D605">
        <v>1</v>
      </c>
      <c r="E605">
        <v>1</v>
      </c>
      <c r="F605" t="s">
        <v>40</v>
      </c>
      <c r="G605" t="s">
        <v>17</v>
      </c>
      <c r="H605" t="s">
        <v>19</v>
      </c>
      <c r="I605" t="s">
        <v>14</v>
      </c>
      <c r="J605">
        <v>1</v>
      </c>
      <c r="K605" t="str">
        <f t="shared" si="9"/>
        <v>Affected</v>
      </c>
      <c r="L605" t="str" cm="1">
        <f t="array" ref="L605">_xlfn.IFS(B605&gt;60,"Older Adult(&gt;60)",B605&gt;35,"Middle-aged Adult(36-60)",B605&gt;18,"Young Adult(19-35)",B605&gt;12,"Adolescent(13-18)",B605&gt;0,"Child(&lt;13)")</f>
        <v>Middle-aged Adult(36-60)</v>
      </c>
    </row>
    <row r="606" spans="1:12">
      <c r="A606" t="s">
        <v>10</v>
      </c>
      <c r="B606">
        <v>37</v>
      </c>
      <c r="C606">
        <v>1</v>
      </c>
      <c r="D606">
        <v>1</v>
      </c>
      <c r="E606">
        <v>1</v>
      </c>
      <c r="F606" t="s">
        <v>33</v>
      </c>
      <c r="G606" t="s">
        <v>12</v>
      </c>
      <c r="H606" t="s">
        <v>13</v>
      </c>
      <c r="I606" t="s">
        <v>14</v>
      </c>
      <c r="J606">
        <v>1</v>
      </c>
      <c r="K606" t="str">
        <f t="shared" si="9"/>
        <v>Affected</v>
      </c>
      <c r="L606" t="str" cm="1">
        <f t="array" ref="L606">_xlfn.IFS(B606&gt;60,"Older Adult(&gt;60)",B606&gt;35,"Middle-aged Adult(36-60)",B606&gt;18,"Young Adult(19-35)",B606&gt;12,"Adolescent(13-18)",B606&gt;0,"Child(&lt;13)")</f>
        <v>Middle-aged Adult(36-60)</v>
      </c>
    </row>
    <row r="607" spans="1:12">
      <c r="A607" t="s">
        <v>10</v>
      </c>
      <c r="B607">
        <v>12</v>
      </c>
      <c r="C607">
        <v>0</v>
      </c>
      <c r="D607">
        <v>0</v>
      </c>
      <c r="E607">
        <v>1</v>
      </c>
      <c r="F607" t="s">
        <v>26</v>
      </c>
      <c r="G607" t="s">
        <v>17</v>
      </c>
      <c r="H607" t="s">
        <v>13</v>
      </c>
      <c r="I607" t="s">
        <v>14</v>
      </c>
      <c r="J607">
        <v>0</v>
      </c>
      <c r="K607" t="str">
        <f t="shared" si="9"/>
        <v>Not Affected</v>
      </c>
      <c r="L607" t="str" cm="1">
        <f t="array" ref="L607">_xlfn.IFS(B607&gt;60,"Older Adult(&gt;60)",B607&gt;35,"Middle-aged Adult(36-60)",B607&gt;18,"Young Adult(19-35)",B607&gt;12,"Adolescent(13-18)",B607&gt;0,"Child(&lt;13)")</f>
        <v>Child(&lt;13)</v>
      </c>
    </row>
    <row r="608" spans="1:12">
      <c r="A608" t="s">
        <v>15</v>
      </c>
      <c r="B608">
        <v>65</v>
      </c>
      <c r="C608">
        <v>1</v>
      </c>
      <c r="D608">
        <v>1</v>
      </c>
      <c r="E608">
        <v>0</v>
      </c>
      <c r="F608" t="s">
        <v>33</v>
      </c>
      <c r="G608" t="s">
        <v>12</v>
      </c>
      <c r="H608" t="s">
        <v>19</v>
      </c>
      <c r="I608" t="s">
        <v>14</v>
      </c>
      <c r="J608">
        <v>1</v>
      </c>
      <c r="K608" t="str">
        <f t="shared" si="9"/>
        <v>Affected</v>
      </c>
      <c r="L608" t="str" cm="1">
        <f t="array" ref="L608">_xlfn.IFS(B608&gt;60,"Older Adult(&gt;60)",B608&gt;35,"Middle-aged Adult(36-60)",B608&gt;18,"Young Adult(19-35)",B608&gt;12,"Adolescent(13-18)",B608&gt;0,"Child(&lt;13)")</f>
        <v>Older Adult(&gt;60)</v>
      </c>
    </row>
    <row r="609" spans="1:12">
      <c r="A609" t="s">
        <v>10</v>
      </c>
      <c r="B609">
        <v>44</v>
      </c>
      <c r="C609">
        <v>1</v>
      </c>
      <c r="D609">
        <v>1</v>
      </c>
      <c r="E609">
        <v>0</v>
      </c>
      <c r="F609" t="s">
        <v>27</v>
      </c>
      <c r="G609" t="s">
        <v>17</v>
      </c>
      <c r="H609" t="s">
        <v>13</v>
      </c>
      <c r="I609" t="s">
        <v>14</v>
      </c>
      <c r="J609">
        <v>1</v>
      </c>
      <c r="K609" t="str">
        <f t="shared" si="9"/>
        <v>Affected</v>
      </c>
      <c r="L609" t="str" cm="1">
        <f t="array" ref="L609">_xlfn.IFS(B609&gt;60,"Older Adult(&gt;60)",B609&gt;35,"Middle-aged Adult(36-60)",B609&gt;18,"Young Adult(19-35)",B609&gt;12,"Adolescent(13-18)",B609&gt;0,"Child(&lt;13)")</f>
        <v>Middle-aged Adult(36-60)</v>
      </c>
    </row>
    <row r="610" spans="1:12">
      <c r="A610" t="s">
        <v>15</v>
      </c>
      <c r="B610">
        <v>52</v>
      </c>
      <c r="C610">
        <v>1</v>
      </c>
      <c r="D610">
        <v>1</v>
      </c>
      <c r="E610">
        <v>0</v>
      </c>
      <c r="F610" t="s">
        <v>23</v>
      </c>
      <c r="G610" t="s">
        <v>12</v>
      </c>
      <c r="H610" t="s">
        <v>13</v>
      </c>
      <c r="I610" t="s">
        <v>14</v>
      </c>
      <c r="J610">
        <v>1</v>
      </c>
      <c r="K610" t="str">
        <f t="shared" si="9"/>
        <v>Affected</v>
      </c>
      <c r="L610" t="str" cm="1">
        <f t="array" ref="L610">_xlfn.IFS(B610&gt;60,"Older Adult(&gt;60)",B610&gt;35,"Middle-aged Adult(36-60)",B610&gt;18,"Young Adult(19-35)",B610&gt;12,"Adolescent(13-18)",B610&gt;0,"Child(&lt;13)")</f>
        <v>Middle-aged Adult(36-60)</v>
      </c>
    </row>
    <row r="611" spans="1:12">
      <c r="A611" t="s">
        <v>10</v>
      </c>
      <c r="B611">
        <v>10</v>
      </c>
      <c r="C611">
        <v>1</v>
      </c>
      <c r="D611">
        <v>1</v>
      </c>
      <c r="E611">
        <v>1</v>
      </c>
      <c r="F611" t="s">
        <v>44</v>
      </c>
      <c r="G611" t="s">
        <v>17</v>
      </c>
      <c r="H611" t="s">
        <v>24</v>
      </c>
      <c r="I611" t="s">
        <v>14</v>
      </c>
      <c r="J611">
        <v>1</v>
      </c>
      <c r="K611" t="str">
        <f t="shared" si="9"/>
        <v>Affected</v>
      </c>
      <c r="L611" t="str" cm="1">
        <f t="array" ref="L611">_xlfn.IFS(B611&gt;60,"Older Adult(&gt;60)",B611&gt;35,"Middle-aged Adult(36-60)",B611&gt;18,"Young Adult(19-35)",B611&gt;12,"Adolescent(13-18)",B611&gt;0,"Child(&lt;13)")</f>
        <v>Child(&lt;13)</v>
      </c>
    </row>
    <row r="612" spans="1:12">
      <c r="A612" t="s">
        <v>15</v>
      </c>
      <c r="B612">
        <v>16</v>
      </c>
      <c r="C612">
        <v>1</v>
      </c>
      <c r="D612">
        <v>1</v>
      </c>
      <c r="E612">
        <v>0</v>
      </c>
      <c r="F612" t="s">
        <v>40</v>
      </c>
      <c r="G612" t="s">
        <v>12</v>
      </c>
      <c r="H612" t="s">
        <v>13</v>
      </c>
      <c r="I612" t="s">
        <v>14</v>
      </c>
      <c r="J612">
        <v>1</v>
      </c>
      <c r="K612" t="str">
        <f t="shared" si="9"/>
        <v>Affected</v>
      </c>
      <c r="L612" t="str" cm="1">
        <f t="array" ref="L612">_xlfn.IFS(B612&gt;60,"Older Adult(&gt;60)",B612&gt;35,"Middle-aged Adult(36-60)",B612&gt;18,"Young Adult(19-35)",B612&gt;12,"Adolescent(13-18)",B612&gt;0,"Child(&lt;13)")</f>
        <v>Adolescent(13-18)</v>
      </c>
    </row>
    <row r="613" spans="1:12">
      <c r="A613" t="s">
        <v>10</v>
      </c>
      <c r="B613">
        <v>17</v>
      </c>
      <c r="C613">
        <v>1</v>
      </c>
      <c r="D613">
        <v>1</v>
      </c>
      <c r="E613">
        <v>0</v>
      </c>
      <c r="F613" t="s">
        <v>38</v>
      </c>
      <c r="G613" t="s">
        <v>17</v>
      </c>
      <c r="H613" t="s">
        <v>19</v>
      </c>
      <c r="I613" t="s">
        <v>14</v>
      </c>
      <c r="J613">
        <v>1</v>
      </c>
      <c r="K613" t="str">
        <f t="shared" si="9"/>
        <v>Affected</v>
      </c>
      <c r="L613" t="str" cm="1">
        <f t="array" ref="L613">_xlfn.IFS(B613&gt;60,"Older Adult(&gt;60)",B613&gt;35,"Middle-aged Adult(36-60)",B613&gt;18,"Young Adult(19-35)",B613&gt;12,"Adolescent(13-18)",B613&gt;0,"Child(&lt;13)")</f>
        <v>Adolescent(13-18)</v>
      </c>
    </row>
    <row r="614" spans="1:12">
      <c r="A614" t="s">
        <v>10</v>
      </c>
      <c r="B614">
        <v>63</v>
      </c>
      <c r="C614">
        <v>0</v>
      </c>
      <c r="D614">
        <v>0</v>
      </c>
      <c r="E614">
        <v>1</v>
      </c>
      <c r="F614" t="s">
        <v>43</v>
      </c>
      <c r="G614" t="s">
        <v>12</v>
      </c>
      <c r="H614" t="s">
        <v>19</v>
      </c>
      <c r="I614" t="s">
        <v>14</v>
      </c>
      <c r="J614">
        <v>0</v>
      </c>
      <c r="K614" t="str">
        <f t="shared" si="9"/>
        <v>Not Affected</v>
      </c>
      <c r="L614" t="str" cm="1">
        <f t="array" ref="L614">_xlfn.IFS(B614&gt;60,"Older Adult(&gt;60)",B614&gt;35,"Middle-aged Adult(36-60)",B614&gt;18,"Young Adult(19-35)",B614&gt;12,"Adolescent(13-18)",B614&gt;0,"Child(&lt;13)")</f>
        <v>Older Adult(&gt;60)</v>
      </c>
    </row>
    <row r="615" spans="1:12">
      <c r="A615" t="s">
        <v>10</v>
      </c>
      <c r="B615">
        <v>29</v>
      </c>
      <c r="C615">
        <v>1</v>
      </c>
      <c r="D615">
        <v>1</v>
      </c>
      <c r="E615">
        <v>1</v>
      </c>
      <c r="F615" t="s">
        <v>11</v>
      </c>
      <c r="G615" t="s">
        <v>17</v>
      </c>
      <c r="H615" t="s">
        <v>19</v>
      </c>
      <c r="I615" t="s">
        <v>14</v>
      </c>
      <c r="J615">
        <v>1</v>
      </c>
      <c r="K615" t="str">
        <f t="shared" si="9"/>
        <v>Affected</v>
      </c>
      <c r="L615" t="str" cm="1">
        <f t="array" ref="L615">_xlfn.IFS(B615&gt;60,"Older Adult(&gt;60)",B615&gt;35,"Middle-aged Adult(36-60)",B615&gt;18,"Young Adult(19-35)",B615&gt;12,"Adolescent(13-18)",B615&gt;0,"Child(&lt;13)")</f>
        <v>Young Adult(19-35)</v>
      </c>
    </row>
    <row r="616" spans="1:12">
      <c r="A616" t="s">
        <v>15</v>
      </c>
      <c r="B616">
        <v>62</v>
      </c>
      <c r="C616">
        <v>0</v>
      </c>
      <c r="D616">
        <v>0</v>
      </c>
      <c r="E616">
        <v>1</v>
      </c>
      <c r="F616" t="s">
        <v>37</v>
      </c>
      <c r="G616" t="s">
        <v>12</v>
      </c>
      <c r="H616" t="s">
        <v>13</v>
      </c>
      <c r="I616" t="s">
        <v>14</v>
      </c>
      <c r="J616">
        <v>0</v>
      </c>
      <c r="K616" t="str">
        <f t="shared" si="9"/>
        <v>Not Affected</v>
      </c>
      <c r="L616" t="str" cm="1">
        <f t="array" ref="L616">_xlfn.IFS(B616&gt;60,"Older Adult(&gt;60)",B616&gt;35,"Middle-aged Adult(36-60)",B616&gt;18,"Young Adult(19-35)",B616&gt;12,"Adolescent(13-18)",B616&gt;0,"Child(&lt;13)")</f>
        <v>Older Adult(&gt;60)</v>
      </c>
    </row>
    <row r="617" spans="1:12">
      <c r="A617" t="s">
        <v>10</v>
      </c>
      <c r="B617">
        <v>16</v>
      </c>
      <c r="C617">
        <v>0</v>
      </c>
      <c r="D617">
        <v>0</v>
      </c>
      <c r="E617">
        <v>0</v>
      </c>
      <c r="F617" t="s">
        <v>25</v>
      </c>
      <c r="G617" t="s">
        <v>17</v>
      </c>
      <c r="H617" t="s">
        <v>24</v>
      </c>
      <c r="I617" t="s">
        <v>14</v>
      </c>
      <c r="J617">
        <v>0</v>
      </c>
      <c r="K617" t="str">
        <f t="shared" si="9"/>
        <v>Not Affected</v>
      </c>
      <c r="L617" t="str" cm="1">
        <f t="array" ref="L617">_xlfn.IFS(B617&gt;60,"Older Adult(&gt;60)",B617&gt;35,"Middle-aged Adult(36-60)",B617&gt;18,"Young Adult(19-35)",B617&gt;12,"Adolescent(13-18)",B617&gt;0,"Child(&lt;13)")</f>
        <v>Adolescent(13-18)</v>
      </c>
    </row>
    <row r="618" spans="1:12">
      <c r="A618" t="s">
        <v>15</v>
      </c>
      <c r="B618">
        <v>8</v>
      </c>
      <c r="C618">
        <v>0</v>
      </c>
      <c r="D618">
        <v>0</v>
      </c>
      <c r="E618">
        <v>0</v>
      </c>
      <c r="F618" t="s">
        <v>21</v>
      </c>
      <c r="G618" t="s">
        <v>12</v>
      </c>
      <c r="H618" t="s">
        <v>13</v>
      </c>
      <c r="I618" t="s">
        <v>14</v>
      </c>
      <c r="J618">
        <v>0</v>
      </c>
      <c r="K618" t="str">
        <f t="shared" si="9"/>
        <v>Not Affected</v>
      </c>
      <c r="L618" t="str" cm="1">
        <f t="array" ref="L618">_xlfn.IFS(B618&gt;60,"Older Adult(&gt;60)",B618&gt;35,"Middle-aged Adult(36-60)",B618&gt;18,"Young Adult(19-35)",B618&gt;12,"Adolescent(13-18)",B618&gt;0,"Child(&lt;13)")</f>
        <v>Child(&lt;13)</v>
      </c>
    </row>
    <row r="619" spans="1:12">
      <c r="A619" t="s">
        <v>10</v>
      </c>
      <c r="B619">
        <v>10</v>
      </c>
      <c r="C619">
        <v>1</v>
      </c>
      <c r="D619">
        <v>1</v>
      </c>
      <c r="E619">
        <v>0</v>
      </c>
      <c r="F619" t="s">
        <v>51</v>
      </c>
      <c r="G619" t="s">
        <v>17</v>
      </c>
      <c r="H619" t="s">
        <v>24</v>
      </c>
      <c r="I619" t="s">
        <v>14</v>
      </c>
      <c r="J619">
        <v>1</v>
      </c>
      <c r="K619" t="str">
        <f t="shared" si="9"/>
        <v>Affected</v>
      </c>
      <c r="L619" t="str" cm="1">
        <f t="array" ref="L619">_xlfn.IFS(B619&gt;60,"Older Adult(&gt;60)",B619&gt;35,"Middle-aged Adult(36-60)",B619&gt;18,"Young Adult(19-35)",B619&gt;12,"Adolescent(13-18)",B619&gt;0,"Child(&lt;13)")</f>
        <v>Child(&lt;13)</v>
      </c>
    </row>
    <row r="620" spans="1:12">
      <c r="A620" t="s">
        <v>10</v>
      </c>
      <c r="B620">
        <v>40</v>
      </c>
      <c r="C620">
        <v>1</v>
      </c>
      <c r="D620">
        <v>1</v>
      </c>
      <c r="E620">
        <v>0</v>
      </c>
      <c r="F620" t="s">
        <v>31</v>
      </c>
      <c r="G620" t="s">
        <v>12</v>
      </c>
      <c r="H620" t="s">
        <v>24</v>
      </c>
      <c r="I620" t="s">
        <v>14</v>
      </c>
      <c r="J620">
        <v>1</v>
      </c>
      <c r="K620" t="str">
        <f t="shared" si="9"/>
        <v>Affected</v>
      </c>
      <c r="L620" t="str" cm="1">
        <f t="array" ref="L620">_xlfn.IFS(B620&gt;60,"Older Adult(&gt;60)",B620&gt;35,"Middle-aged Adult(36-60)",B620&gt;18,"Young Adult(19-35)",B620&gt;12,"Adolescent(13-18)",B620&gt;0,"Child(&lt;13)")</f>
        <v>Middle-aged Adult(36-60)</v>
      </c>
    </row>
    <row r="621" spans="1:12">
      <c r="A621" t="s">
        <v>10</v>
      </c>
      <c r="B621">
        <v>51</v>
      </c>
      <c r="C621">
        <v>0</v>
      </c>
      <c r="D621">
        <v>0</v>
      </c>
      <c r="E621">
        <v>1</v>
      </c>
      <c r="F621" t="s">
        <v>16</v>
      </c>
      <c r="G621" t="s">
        <v>17</v>
      </c>
      <c r="H621" t="s">
        <v>19</v>
      </c>
      <c r="I621" t="s">
        <v>14</v>
      </c>
      <c r="J621">
        <v>0</v>
      </c>
      <c r="K621" t="str">
        <f t="shared" si="9"/>
        <v>Not Affected</v>
      </c>
      <c r="L621" t="str" cm="1">
        <f t="array" ref="L621">_xlfn.IFS(B621&gt;60,"Older Adult(&gt;60)",B621&gt;35,"Middle-aged Adult(36-60)",B621&gt;18,"Young Adult(19-35)",B621&gt;12,"Adolescent(13-18)",B621&gt;0,"Child(&lt;13)")</f>
        <v>Middle-aged Adult(36-60)</v>
      </c>
    </row>
    <row r="622" spans="1:12">
      <c r="A622" t="s">
        <v>10</v>
      </c>
      <c r="B622">
        <v>40</v>
      </c>
      <c r="C622">
        <v>1</v>
      </c>
      <c r="D622">
        <v>1</v>
      </c>
      <c r="E622">
        <v>1</v>
      </c>
      <c r="F622" t="s">
        <v>44</v>
      </c>
      <c r="G622" t="s">
        <v>12</v>
      </c>
      <c r="H622" t="s">
        <v>13</v>
      </c>
      <c r="I622" t="s">
        <v>14</v>
      </c>
      <c r="J622">
        <v>1</v>
      </c>
      <c r="K622" t="str">
        <f t="shared" si="9"/>
        <v>Affected</v>
      </c>
      <c r="L622" t="str" cm="1">
        <f t="array" ref="L622">_xlfn.IFS(B622&gt;60,"Older Adult(&gt;60)",B622&gt;35,"Middle-aged Adult(36-60)",B622&gt;18,"Young Adult(19-35)",B622&gt;12,"Adolescent(13-18)",B622&gt;0,"Child(&lt;13)")</f>
        <v>Middle-aged Adult(36-60)</v>
      </c>
    </row>
    <row r="623" spans="1:12">
      <c r="A623" t="s">
        <v>10</v>
      </c>
      <c r="B623">
        <v>50</v>
      </c>
      <c r="C623">
        <v>0</v>
      </c>
      <c r="D623">
        <v>0</v>
      </c>
      <c r="E623">
        <v>0</v>
      </c>
      <c r="F623" t="s">
        <v>25</v>
      </c>
      <c r="G623" t="s">
        <v>17</v>
      </c>
      <c r="H623" t="s">
        <v>19</v>
      </c>
      <c r="I623" t="s">
        <v>14</v>
      </c>
      <c r="J623">
        <v>0</v>
      </c>
      <c r="K623" t="str">
        <f t="shared" si="9"/>
        <v>Not Affected</v>
      </c>
      <c r="L623" t="str" cm="1">
        <f t="array" ref="L623">_xlfn.IFS(B623&gt;60,"Older Adult(&gt;60)",B623&gt;35,"Middle-aged Adult(36-60)",B623&gt;18,"Young Adult(19-35)",B623&gt;12,"Adolescent(13-18)",B623&gt;0,"Child(&lt;13)")</f>
        <v>Middle-aged Adult(36-60)</v>
      </c>
    </row>
    <row r="624" spans="1:12">
      <c r="A624" t="s">
        <v>15</v>
      </c>
      <c r="B624">
        <v>20</v>
      </c>
      <c r="C624">
        <v>1</v>
      </c>
      <c r="D624">
        <v>1</v>
      </c>
      <c r="E624">
        <v>1</v>
      </c>
      <c r="F624" t="s">
        <v>11</v>
      </c>
      <c r="G624" t="s">
        <v>12</v>
      </c>
      <c r="H624" t="s">
        <v>24</v>
      </c>
      <c r="I624" t="s">
        <v>14</v>
      </c>
      <c r="J624">
        <v>1</v>
      </c>
      <c r="K624" t="str">
        <f t="shared" si="9"/>
        <v>Affected</v>
      </c>
      <c r="L624" t="str" cm="1">
        <f t="array" ref="L624">_xlfn.IFS(B624&gt;60,"Older Adult(&gt;60)",B624&gt;35,"Middle-aged Adult(36-60)",B624&gt;18,"Young Adult(19-35)",B624&gt;12,"Adolescent(13-18)",B624&gt;0,"Child(&lt;13)")</f>
        <v>Young Adult(19-35)</v>
      </c>
    </row>
    <row r="625" spans="1:12">
      <c r="A625" t="s">
        <v>10</v>
      </c>
      <c r="B625">
        <v>27</v>
      </c>
      <c r="C625">
        <v>0</v>
      </c>
      <c r="D625">
        <v>0</v>
      </c>
      <c r="E625">
        <v>0</v>
      </c>
      <c r="F625" t="s">
        <v>21</v>
      </c>
      <c r="G625" t="s">
        <v>17</v>
      </c>
      <c r="H625" t="s">
        <v>19</v>
      </c>
      <c r="I625" t="s">
        <v>14</v>
      </c>
      <c r="J625">
        <v>0</v>
      </c>
      <c r="K625" t="str">
        <f t="shared" si="9"/>
        <v>Not Affected</v>
      </c>
      <c r="L625" t="str" cm="1">
        <f t="array" ref="L625">_xlfn.IFS(B625&gt;60,"Older Adult(&gt;60)",B625&gt;35,"Middle-aged Adult(36-60)",B625&gt;18,"Young Adult(19-35)",B625&gt;12,"Adolescent(13-18)",B625&gt;0,"Child(&lt;13)")</f>
        <v>Young Adult(19-35)</v>
      </c>
    </row>
    <row r="626" spans="1:12">
      <c r="A626" t="s">
        <v>10</v>
      </c>
      <c r="B626">
        <v>65</v>
      </c>
      <c r="C626">
        <v>0</v>
      </c>
      <c r="D626">
        <v>0</v>
      </c>
      <c r="E626">
        <v>0</v>
      </c>
      <c r="F626" t="s">
        <v>20</v>
      </c>
      <c r="G626" t="s">
        <v>12</v>
      </c>
      <c r="H626" t="s">
        <v>24</v>
      </c>
      <c r="I626" t="s">
        <v>14</v>
      </c>
      <c r="J626">
        <v>0</v>
      </c>
      <c r="K626" t="str">
        <f t="shared" si="9"/>
        <v>Not Affected</v>
      </c>
      <c r="L626" t="str" cm="1">
        <f t="array" ref="L626">_xlfn.IFS(B626&gt;60,"Older Adult(&gt;60)",B626&gt;35,"Middle-aged Adult(36-60)",B626&gt;18,"Young Adult(19-35)",B626&gt;12,"Adolescent(13-18)",B626&gt;0,"Child(&lt;13)")</f>
        <v>Older Adult(&gt;60)</v>
      </c>
    </row>
    <row r="627" spans="1:12">
      <c r="A627" t="s">
        <v>10</v>
      </c>
      <c r="B627">
        <v>10</v>
      </c>
      <c r="C627">
        <v>1</v>
      </c>
      <c r="D627">
        <v>1</v>
      </c>
      <c r="E627">
        <v>1</v>
      </c>
      <c r="F627" t="s">
        <v>50</v>
      </c>
      <c r="G627" t="s">
        <v>17</v>
      </c>
      <c r="H627" t="s">
        <v>24</v>
      </c>
      <c r="I627" t="s">
        <v>14</v>
      </c>
      <c r="J627">
        <v>1</v>
      </c>
      <c r="K627" t="str">
        <f t="shared" si="9"/>
        <v>Affected</v>
      </c>
      <c r="L627" t="str" cm="1">
        <f t="array" ref="L627">_xlfn.IFS(B627&gt;60,"Older Adult(&gt;60)",B627&gt;35,"Middle-aged Adult(36-60)",B627&gt;18,"Young Adult(19-35)",B627&gt;12,"Adolescent(13-18)",B627&gt;0,"Child(&lt;13)")</f>
        <v>Child(&lt;13)</v>
      </c>
    </row>
    <row r="628" spans="1:12">
      <c r="A628" t="s">
        <v>10</v>
      </c>
      <c r="B628">
        <v>33</v>
      </c>
      <c r="C628">
        <v>1</v>
      </c>
      <c r="D628">
        <v>1</v>
      </c>
      <c r="E628">
        <v>1</v>
      </c>
      <c r="F628" t="s">
        <v>20</v>
      </c>
      <c r="G628" t="s">
        <v>12</v>
      </c>
      <c r="H628" t="s">
        <v>24</v>
      </c>
      <c r="I628" t="s">
        <v>14</v>
      </c>
      <c r="J628">
        <v>1</v>
      </c>
      <c r="K628" t="str">
        <f t="shared" si="9"/>
        <v>Affected</v>
      </c>
      <c r="L628" t="str" cm="1">
        <f t="array" ref="L628">_xlfn.IFS(B628&gt;60,"Older Adult(&gt;60)",B628&gt;35,"Middle-aged Adult(36-60)",B628&gt;18,"Young Adult(19-35)",B628&gt;12,"Adolescent(13-18)",B628&gt;0,"Child(&lt;13)")</f>
        <v>Young Adult(19-35)</v>
      </c>
    </row>
    <row r="629" spans="1:12">
      <c r="A629" t="s">
        <v>15</v>
      </c>
      <c r="B629">
        <v>20</v>
      </c>
      <c r="C629">
        <v>1</v>
      </c>
      <c r="D629">
        <v>1</v>
      </c>
      <c r="E629">
        <v>1</v>
      </c>
      <c r="F629" t="s">
        <v>20</v>
      </c>
      <c r="G629" t="s">
        <v>17</v>
      </c>
      <c r="H629" t="s">
        <v>24</v>
      </c>
      <c r="I629" t="s">
        <v>14</v>
      </c>
      <c r="J629">
        <v>1</v>
      </c>
      <c r="K629" t="str">
        <f t="shared" si="9"/>
        <v>Affected</v>
      </c>
      <c r="L629" t="str" cm="1">
        <f t="array" ref="L629">_xlfn.IFS(B629&gt;60,"Older Adult(&gt;60)",B629&gt;35,"Middle-aged Adult(36-60)",B629&gt;18,"Young Adult(19-35)",B629&gt;12,"Adolescent(13-18)",B629&gt;0,"Child(&lt;13)")</f>
        <v>Young Adult(19-35)</v>
      </c>
    </row>
    <row r="630" spans="1:12">
      <c r="A630" t="s">
        <v>10</v>
      </c>
      <c r="B630">
        <v>44</v>
      </c>
      <c r="C630">
        <v>1</v>
      </c>
      <c r="D630">
        <v>1</v>
      </c>
      <c r="E630">
        <v>1</v>
      </c>
      <c r="F630" t="s">
        <v>25</v>
      </c>
      <c r="G630" t="s">
        <v>12</v>
      </c>
      <c r="H630" t="s">
        <v>13</v>
      </c>
      <c r="I630" t="s">
        <v>14</v>
      </c>
      <c r="J630">
        <v>1</v>
      </c>
      <c r="K630" t="str">
        <f t="shared" si="9"/>
        <v>Affected</v>
      </c>
      <c r="L630" t="str" cm="1">
        <f t="array" ref="L630">_xlfn.IFS(B630&gt;60,"Older Adult(&gt;60)",B630&gt;35,"Middle-aged Adult(36-60)",B630&gt;18,"Young Adult(19-35)",B630&gt;12,"Adolescent(13-18)",B630&gt;0,"Child(&lt;13)")</f>
        <v>Middle-aged Adult(36-60)</v>
      </c>
    </row>
    <row r="631" spans="1:12">
      <c r="A631" t="s">
        <v>15</v>
      </c>
      <c r="B631">
        <v>62</v>
      </c>
      <c r="C631">
        <v>0</v>
      </c>
      <c r="D631">
        <v>0</v>
      </c>
      <c r="E631">
        <v>0</v>
      </c>
      <c r="F631" t="s">
        <v>25</v>
      </c>
      <c r="G631" t="s">
        <v>17</v>
      </c>
      <c r="H631" t="s">
        <v>13</v>
      </c>
      <c r="I631" t="s">
        <v>14</v>
      </c>
      <c r="J631">
        <v>0</v>
      </c>
      <c r="K631" t="str">
        <f t="shared" si="9"/>
        <v>Not Affected</v>
      </c>
      <c r="L631" t="str" cm="1">
        <f t="array" ref="L631">_xlfn.IFS(B631&gt;60,"Older Adult(&gt;60)",B631&gt;35,"Middle-aged Adult(36-60)",B631&gt;18,"Young Adult(19-35)",B631&gt;12,"Adolescent(13-18)",B631&gt;0,"Child(&lt;13)")</f>
        <v>Older Adult(&gt;60)</v>
      </c>
    </row>
    <row r="632" spans="1:12">
      <c r="A632" t="s">
        <v>15</v>
      </c>
      <c r="B632">
        <v>62</v>
      </c>
      <c r="C632">
        <v>1</v>
      </c>
      <c r="D632">
        <v>1</v>
      </c>
      <c r="E632">
        <v>0</v>
      </c>
      <c r="F632" t="s">
        <v>50</v>
      </c>
      <c r="G632" t="s">
        <v>12</v>
      </c>
      <c r="H632" t="s">
        <v>19</v>
      </c>
      <c r="I632" t="s">
        <v>14</v>
      </c>
      <c r="J632">
        <v>1</v>
      </c>
      <c r="K632" t="str">
        <f t="shared" si="9"/>
        <v>Affected</v>
      </c>
      <c r="L632" t="str" cm="1">
        <f t="array" ref="L632">_xlfn.IFS(B632&gt;60,"Older Adult(&gt;60)",B632&gt;35,"Middle-aged Adult(36-60)",B632&gt;18,"Young Adult(19-35)",B632&gt;12,"Adolescent(13-18)",B632&gt;0,"Child(&lt;13)")</f>
        <v>Older Adult(&gt;60)</v>
      </c>
    </row>
    <row r="633" spans="1:12">
      <c r="A633" t="s">
        <v>15</v>
      </c>
      <c r="B633">
        <v>54</v>
      </c>
      <c r="C633">
        <v>1</v>
      </c>
      <c r="D633">
        <v>1</v>
      </c>
      <c r="E633">
        <v>1</v>
      </c>
      <c r="F633" t="s">
        <v>38</v>
      </c>
      <c r="G633" t="s">
        <v>17</v>
      </c>
      <c r="H633" t="s">
        <v>13</v>
      </c>
      <c r="I633" t="s">
        <v>14</v>
      </c>
      <c r="J633">
        <v>1</v>
      </c>
      <c r="K633" t="str">
        <f t="shared" si="9"/>
        <v>Affected</v>
      </c>
      <c r="L633" t="str" cm="1">
        <f t="array" ref="L633">_xlfn.IFS(B633&gt;60,"Older Adult(&gt;60)",B633&gt;35,"Middle-aged Adult(36-60)",B633&gt;18,"Young Adult(19-35)",B633&gt;12,"Adolescent(13-18)",B633&gt;0,"Child(&lt;13)")</f>
        <v>Middle-aged Adult(36-60)</v>
      </c>
    </row>
    <row r="634" spans="1:12">
      <c r="A634" t="s">
        <v>15</v>
      </c>
      <c r="B634">
        <v>62</v>
      </c>
      <c r="C634">
        <v>0</v>
      </c>
      <c r="D634">
        <v>0</v>
      </c>
      <c r="E634">
        <v>1</v>
      </c>
      <c r="F634" t="s">
        <v>18</v>
      </c>
      <c r="G634" t="s">
        <v>12</v>
      </c>
      <c r="H634" t="s">
        <v>24</v>
      </c>
      <c r="I634" t="s">
        <v>14</v>
      </c>
      <c r="J634">
        <v>0</v>
      </c>
      <c r="K634" t="str">
        <f t="shared" si="9"/>
        <v>Not Affected</v>
      </c>
      <c r="L634" t="str" cm="1">
        <f t="array" ref="L634">_xlfn.IFS(B634&gt;60,"Older Adult(&gt;60)",B634&gt;35,"Middle-aged Adult(36-60)",B634&gt;18,"Young Adult(19-35)",B634&gt;12,"Adolescent(13-18)",B634&gt;0,"Child(&lt;13)")</f>
        <v>Older Adult(&gt;60)</v>
      </c>
    </row>
    <row r="635" spans="1:12">
      <c r="A635" t="s">
        <v>15</v>
      </c>
      <c r="B635">
        <v>58</v>
      </c>
      <c r="C635">
        <v>1</v>
      </c>
      <c r="D635">
        <v>1</v>
      </c>
      <c r="E635">
        <v>0</v>
      </c>
      <c r="F635" t="s">
        <v>25</v>
      </c>
      <c r="G635" t="s">
        <v>17</v>
      </c>
      <c r="H635" t="s">
        <v>13</v>
      </c>
      <c r="I635" t="s">
        <v>14</v>
      </c>
      <c r="J635">
        <v>1</v>
      </c>
      <c r="K635" t="str">
        <f t="shared" si="9"/>
        <v>Affected</v>
      </c>
      <c r="L635" t="str" cm="1">
        <f t="array" ref="L635">_xlfn.IFS(B635&gt;60,"Older Adult(&gt;60)",B635&gt;35,"Middle-aged Adult(36-60)",B635&gt;18,"Young Adult(19-35)",B635&gt;12,"Adolescent(13-18)",B635&gt;0,"Child(&lt;13)")</f>
        <v>Middle-aged Adult(36-60)</v>
      </c>
    </row>
    <row r="636" spans="1:12">
      <c r="A636" t="s">
        <v>15</v>
      </c>
      <c r="B636">
        <v>10</v>
      </c>
      <c r="C636">
        <v>1</v>
      </c>
      <c r="D636">
        <v>1</v>
      </c>
      <c r="E636">
        <v>1</v>
      </c>
      <c r="F636" t="s">
        <v>26</v>
      </c>
      <c r="G636" t="s">
        <v>12</v>
      </c>
      <c r="H636" t="s">
        <v>19</v>
      </c>
      <c r="I636" t="s">
        <v>14</v>
      </c>
      <c r="J636">
        <v>1</v>
      </c>
      <c r="K636" t="str">
        <f t="shared" si="9"/>
        <v>Affected</v>
      </c>
      <c r="L636" t="str" cm="1">
        <f t="array" ref="L636">_xlfn.IFS(B636&gt;60,"Older Adult(&gt;60)",B636&gt;35,"Middle-aged Adult(36-60)",B636&gt;18,"Young Adult(19-35)",B636&gt;12,"Adolescent(13-18)",B636&gt;0,"Child(&lt;13)")</f>
        <v>Child(&lt;13)</v>
      </c>
    </row>
    <row r="637" spans="1:12">
      <c r="A637" t="s">
        <v>10</v>
      </c>
      <c r="B637">
        <v>47</v>
      </c>
      <c r="C637">
        <v>0</v>
      </c>
      <c r="D637">
        <v>0</v>
      </c>
      <c r="E637">
        <v>1</v>
      </c>
      <c r="F637" t="s">
        <v>39</v>
      </c>
      <c r="G637" t="s">
        <v>17</v>
      </c>
      <c r="H637" t="s">
        <v>13</v>
      </c>
      <c r="I637" t="s">
        <v>14</v>
      </c>
      <c r="J637">
        <v>0</v>
      </c>
      <c r="K637" t="str">
        <f t="shared" si="9"/>
        <v>Not Affected</v>
      </c>
      <c r="L637" t="str" cm="1">
        <f t="array" ref="L637">_xlfn.IFS(B637&gt;60,"Older Adult(&gt;60)",B637&gt;35,"Middle-aged Adult(36-60)",B637&gt;18,"Young Adult(19-35)",B637&gt;12,"Adolescent(13-18)",B637&gt;0,"Child(&lt;13)")</f>
        <v>Middle-aged Adult(36-60)</v>
      </c>
    </row>
    <row r="638" spans="1:12">
      <c r="A638" t="s">
        <v>10</v>
      </c>
      <c r="B638">
        <v>20</v>
      </c>
      <c r="C638">
        <v>0</v>
      </c>
      <c r="D638">
        <v>0</v>
      </c>
      <c r="E638">
        <v>1</v>
      </c>
      <c r="F638" t="s">
        <v>36</v>
      </c>
      <c r="G638" t="s">
        <v>12</v>
      </c>
      <c r="H638" t="s">
        <v>24</v>
      </c>
      <c r="I638" t="s">
        <v>14</v>
      </c>
      <c r="J638">
        <v>0</v>
      </c>
      <c r="K638" t="str">
        <f t="shared" si="9"/>
        <v>Not Affected</v>
      </c>
      <c r="L638" t="str" cm="1">
        <f t="array" ref="L638">_xlfn.IFS(B638&gt;60,"Older Adult(&gt;60)",B638&gt;35,"Middle-aged Adult(36-60)",B638&gt;18,"Young Adult(19-35)",B638&gt;12,"Adolescent(13-18)",B638&gt;0,"Child(&lt;13)")</f>
        <v>Young Adult(19-35)</v>
      </c>
    </row>
    <row r="639" spans="1:12">
      <c r="A639" t="s">
        <v>15</v>
      </c>
      <c r="B639">
        <v>60</v>
      </c>
      <c r="C639">
        <v>0</v>
      </c>
      <c r="D639">
        <v>0</v>
      </c>
      <c r="E639">
        <v>1</v>
      </c>
      <c r="F639" t="s">
        <v>36</v>
      </c>
      <c r="G639" t="s">
        <v>17</v>
      </c>
      <c r="H639" t="s">
        <v>13</v>
      </c>
      <c r="I639" t="s">
        <v>14</v>
      </c>
      <c r="J639">
        <v>0</v>
      </c>
      <c r="K639" t="str">
        <f t="shared" si="9"/>
        <v>Not Affected</v>
      </c>
      <c r="L639" t="str" cm="1">
        <f t="array" ref="L639">_xlfn.IFS(B639&gt;60,"Older Adult(&gt;60)",B639&gt;35,"Middle-aged Adult(36-60)",B639&gt;18,"Young Adult(19-35)",B639&gt;12,"Adolescent(13-18)",B639&gt;0,"Child(&lt;13)")</f>
        <v>Middle-aged Adult(36-60)</v>
      </c>
    </row>
    <row r="640" spans="1:12">
      <c r="A640" t="s">
        <v>10</v>
      </c>
      <c r="B640">
        <v>28</v>
      </c>
      <c r="C640">
        <v>0</v>
      </c>
      <c r="D640">
        <v>0</v>
      </c>
      <c r="E640">
        <v>0</v>
      </c>
      <c r="F640" t="s">
        <v>49</v>
      </c>
      <c r="G640" t="s">
        <v>12</v>
      </c>
      <c r="H640" t="s">
        <v>24</v>
      </c>
      <c r="I640" t="s">
        <v>14</v>
      </c>
      <c r="J640">
        <v>0</v>
      </c>
      <c r="K640" t="str">
        <f t="shared" si="9"/>
        <v>Not Affected</v>
      </c>
      <c r="L640" t="str" cm="1">
        <f t="array" ref="L640">_xlfn.IFS(B640&gt;60,"Older Adult(&gt;60)",B640&gt;35,"Middle-aged Adult(36-60)",B640&gt;18,"Young Adult(19-35)",B640&gt;12,"Adolescent(13-18)",B640&gt;0,"Child(&lt;13)")</f>
        <v>Young Adult(19-35)</v>
      </c>
    </row>
    <row r="641" spans="1:12">
      <c r="A641" t="s">
        <v>10</v>
      </c>
      <c r="B641">
        <v>21</v>
      </c>
      <c r="C641">
        <v>1</v>
      </c>
      <c r="D641">
        <v>1</v>
      </c>
      <c r="E641">
        <v>1</v>
      </c>
      <c r="F641" t="s">
        <v>52</v>
      </c>
      <c r="G641" t="s">
        <v>17</v>
      </c>
      <c r="H641" t="s">
        <v>13</v>
      </c>
      <c r="I641" t="s">
        <v>14</v>
      </c>
      <c r="J641">
        <v>1</v>
      </c>
      <c r="K641" t="str">
        <f t="shared" si="9"/>
        <v>Affected</v>
      </c>
      <c r="L641" t="str" cm="1">
        <f t="array" ref="L641">_xlfn.IFS(B641&gt;60,"Older Adult(&gt;60)",B641&gt;35,"Middle-aged Adult(36-60)",B641&gt;18,"Young Adult(19-35)",B641&gt;12,"Adolescent(13-18)",B641&gt;0,"Child(&lt;13)")</f>
        <v>Young Adult(19-35)</v>
      </c>
    </row>
    <row r="642" spans="1:12">
      <c r="A642" t="s">
        <v>10</v>
      </c>
      <c r="B642">
        <v>48</v>
      </c>
      <c r="C642">
        <v>1</v>
      </c>
      <c r="D642">
        <v>1</v>
      </c>
      <c r="E642">
        <v>1</v>
      </c>
      <c r="F642" t="s">
        <v>53</v>
      </c>
      <c r="G642" t="s">
        <v>12</v>
      </c>
      <c r="H642" t="s">
        <v>19</v>
      </c>
      <c r="I642" t="s">
        <v>14</v>
      </c>
      <c r="J642">
        <v>1</v>
      </c>
      <c r="K642" t="str">
        <f t="shared" si="9"/>
        <v>Affected</v>
      </c>
      <c r="L642" t="str" cm="1">
        <f t="array" ref="L642">_xlfn.IFS(B642&gt;60,"Older Adult(&gt;60)",B642&gt;35,"Middle-aged Adult(36-60)",B642&gt;18,"Young Adult(19-35)",B642&gt;12,"Adolescent(13-18)",B642&gt;0,"Child(&lt;13)")</f>
        <v>Middle-aged Adult(36-60)</v>
      </c>
    </row>
    <row r="643" spans="1:12">
      <c r="A643" t="s">
        <v>15</v>
      </c>
      <c r="B643">
        <v>45</v>
      </c>
      <c r="C643">
        <v>0</v>
      </c>
      <c r="D643">
        <v>0</v>
      </c>
      <c r="E643">
        <v>0</v>
      </c>
      <c r="F643" t="s">
        <v>35</v>
      </c>
      <c r="G643" t="s">
        <v>17</v>
      </c>
      <c r="H643" t="s">
        <v>19</v>
      </c>
      <c r="I643" t="s">
        <v>14</v>
      </c>
      <c r="J643">
        <v>0</v>
      </c>
      <c r="K643" t="str">
        <f t="shared" ref="K643:K706" si="10">IF(J643=0, "Not Affected", "Affected")</f>
        <v>Not Affected</v>
      </c>
      <c r="L643" t="str" cm="1">
        <f t="array" ref="L643">_xlfn.IFS(B643&gt;60,"Older Adult(&gt;60)",B643&gt;35,"Middle-aged Adult(36-60)",B643&gt;18,"Young Adult(19-35)",B643&gt;12,"Adolescent(13-18)",B643&gt;0,"Child(&lt;13)")</f>
        <v>Middle-aged Adult(36-60)</v>
      </c>
    </row>
    <row r="644" spans="1:12">
      <c r="A644" t="s">
        <v>15</v>
      </c>
      <c r="B644">
        <v>23</v>
      </c>
      <c r="C644">
        <v>1</v>
      </c>
      <c r="D644">
        <v>1</v>
      </c>
      <c r="E644">
        <v>0</v>
      </c>
      <c r="F644" t="s">
        <v>48</v>
      </c>
      <c r="G644" t="s">
        <v>12</v>
      </c>
      <c r="H644" t="s">
        <v>13</v>
      </c>
      <c r="I644" t="s">
        <v>14</v>
      </c>
      <c r="J644">
        <v>1</v>
      </c>
      <c r="K644" t="str">
        <f t="shared" si="10"/>
        <v>Affected</v>
      </c>
      <c r="L644" t="str" cm="1">
        <f t="array" ref="L644">_xlfn.IFS(B644&gt;60,"Older Adult(&gt;60)",B644&gt;35,"Middle-aged Adult(36-60)",B644&gt;18,"Young Adult(19-35)",B644&gt;12,"Adolescent(13-18)",B644&gt;0,"Child(&lt;13)")</f>
        <v>Young Adult(19-35)</v>
      </c>
    </row>
    <row r="645" spans="1:12">
      <c r="A645" t="s">
        <v>10</v>
      </c>
      <c r="B645">
        <v>52</v>
      </c>
      <c r="C645">
        <v>0</v>
      </c>
      <c r="D645">
        <v>0</v>
      </c>
      <c r="E645">
        <v>0</v>
      </c>
      <c r="F645" t="s">
        <v>35</v>
      </c>
      <c r="G645" t="s">
        <v>17</v>
      </c>
      <c r="H645" t="s">
        <v>24</v>
      </c>
      <c r="I645" t="s">
        <v>14</v>
      </c>
      <c r="J645">
        <v>0</v>
      </c>
      <c r="K645" t="str">
        <f t="shared" si="10"/>
        <v>Not Affected</v>
      </c>
      <c r="L645" t="str" cm="1">
        <f t="array" ref="L645">_xlfn.IFS(B645&gt;60,"Older Adult(&gt;60)",B645&gt;35,"Middle-aged Adult(36-60)",B645&gt;18,"Young Adult(19-35)",B645&gt;12,"Adolescent(13-18)",B645&gt;0,"Child(&lt;13)")</f>
        <v>Middle-aged Adult(36-60)</v>
      </c>
    </row>
    <row r="646" spans="1:12">
      <c r="A646" t="s">
        <v>15</v>
      </c>
      <c r="B646">
        <v>28</v>
      </c>
      <c r="C646">
        <v>1</v>
      </c>
      <c r="D646">
        <v>1</v>
      </c>
      <c r="E646">
        <v>1</v>
      </c>
      <c r="F646" t="s">
        <v>52</v>
      </c>
      <c r="G646" t="s">
        <v>12</v>
      </c>
      <c r="H646" t="s">
        <v>13</v>
      </c>
      <c r="I646" t="s">
        <v>14</v>
      </c>
      <c r="J646">
        <v>1</v>
      </c>
      <c r="K646" t="str">
        <f t="shared" si="10"/>
        <v>Affected</v>
      </c>
      <c r="L646" t="str" cm="1">
        <f t="array" ref="L646">_xlfn.IFS(B646&gt;60,"Older Adult(&gt;60)",B646&gt;35,"Middle-aged Adult(36-60)",B646&gt;18,"Young Adult(19-35)",B646&gt;12,"Adolescent(13-18)",B646&gt;0,"Child(&lt;13)")</f>
        <v>Young Adult(19-35)</v>
      </c>
    </row>
    <row r="647" spans="1:12">
      <c r="A647" t="s">
        <v>15</v>
      </c>
      <c r="B647">
        <v>19</v>
      </c>
      <c r="C647">
        <v>0</v>
      </c>
      <c r="D647">
        <v>0</v>
      </c>
      <c r="E647">
        <v>0</v>
      </c>
      <c r="F647" t="s">
        <v>31</v>
      </c>
      <c r="G647" t="s">
        <v>17</v>
      </c>
      <c r="H647" t="s">
        <v>19</v>
      </c>
      <c r="I647" t="s">
        <v>14</v>
      </c>
      <c r="J647">
        <v>0</v>
      </c>
      <c r="K647" t="str">
        <f t="shared" si="10"/>
        <v>Not Affected</v>
      </c>
      <c r="L647" t="str" cm="1">
        <f t="array" ref="L647">_xlfn.IFS(B647&gt;60,"Older Adult(&gt;60)",B647&gt;35,"Middle-aged Adult(36-60)",B647&gt;18,"Young Adult(19-35)",B647&gt;12,"Adolescent(13-18)",B647&gt;0,"Child(&lt;13)")</f>
        <v>Young Adult(19-35)</v>
      </c>
    </row>
    <row r="648" spans="1:12">
      <c r="A648" t="s">
        <v>15</v>
      </c>
      <c r="B648">
        <v>46</v>
      </c>
      <c r="C648">
        <v>1</v>
      </c>
      <c r="D648">
        <v>1</v>
      </c>
      <c r="E648">
        <v>1</v>
      </c>
      <c r="F648" t="s">
        <v>34</v>
      </c>
      <c r="G648" t="s">
        <v>12</v>
      </c>
      <c r="H648" t="s">
        <v>13</v>
      </c>
      <c r="I648" t="s">
        <v>14</v>
      </c>
      <c r="J648">
        <v>1</v>
      </c>
      <c r="K648" t="str">
        <f t="shared" si="10"/>
        <v>Affected</v>
      </c>
      <c r="L648" t="str" cm="1">
        <f t="array" ref="L648">_xlfn.IFS(B648&gt;60,"Older Adult(&gt;60)",B648&gt;35,"Middle-aged Adult(36-60)",B648&gt;18,"Young Adult(19-35)",B648&gt;12,"Adolescent(13-18)",B648&gt;0,"Child(&lt;13)")</f>
        <v>Middle-aged Adult(36-60)</v>
      </c>
    </row>
    <row r="649" spans="1:12">
      <c r="A649" t="s">
        <v>10</v>
      </c>
      <c r="B649">
        <v>61</v>
      </c>
      <c r="C649">
        <v>0</v>
      </c>
      <c r="D649">
        <v>0</v>
      </c>
      <c r="E649">
        <v>0</v>
      </c>
      <c r="F649" t="s">
        <v>21</v>
      </c>
      <c r="G649" t="s">
        <v>17</v>
      </c>
      <c r="H649" t="s">
        <v>24</v>
      </c>
      <c r="I649" t="s">
        <v>14</v>
      </c>
      <c r="J649">
        <v>0</v>
      </c>
      <c r="K649" t="str">
        <f t="shared" si="10"/>
        <v>Not Affected</v>
      </c>
      <c r="L649" t="str" cm="1">
        <f t="array" ref="L649">_xlfn.IFS(B649&gt;60,"Older Adult(&gt;60)",B649&gt;35,"Middle-aged Adult(36-60)",B649&gt;18,"Young Adult(19-35)",B649&gt;12,"Adolescent(13-18)",B649&gt;0,"Child(&lt;13)")</f>
        <v>Older Adult(&gt;60)</v>
      </c>
    </row>
    <row r="650" spans="1:12">
      <c r="A650" t="s">
        <v>10</v>
      </c>
      <c r="B650">
        <v>32</v>
      </c>
      <c r="C650">
        <v>0</v>
      </c>
      <c r="D650">
        <v>0</v>
      </c>
      <c r="E650">
        <v>0</v>
      </c>
      <c r="F650" t="s">
        <v>18</v>
      </c>
      <c r="G650" t="s">
        <v>12</v>
      </c>
      <c r="H650" t="s">
        <v>13</v>
      </c>
      <c r="I650" t="s">
        <v>14</v>
      </c>
      <c r="J650">
        <v>0</v>
      </c>
      <c r="K650" t="str">
        <f t="shared" si="10"/>
        <v>Not Affected</v>
      </c>
      <c r="L650" t="str" cm="1">
        <f t="array" ref="L650">_xlfn.IFS(B650&gt;60,"Older Adult(&gt;60)",B650&gt;35,"Middle-aged Adult(36-60)",B650&gt;18,"Young Adult(19-35)",B650&gt;12,"Adolescent(13-18)",B650&gt;0,"Child(&lt;13)")</f>
        <v>Young Adult(19-35)</v>
      </c>
    </row>
    <row r="651" spans="1:12">
      <c r="A651" t="s">
        <v>15</v>
      </c>
      <c r="B651">
        <v>10</v>
      </c>
      <c r="C651">
        <v>1</v>
      </c>
      <c r="D651">
        <v>1</v>
      </c>
      <c r="E651">
        <v>1</v>
      </c>
      <c r="F651" t="s">
        <v>34</v>
      </c>
      <c r="G651" t="s">
        <v>17</v>
      </c>
      <c r="H651" t="s">
        <v>19</v>
      </c>
      <c r="I651" t="s">
        <v>14</v>
      </c>
      <c r="J651">
        <v>1</v>
      </c>
      <c r="K651" t="str">
        <f t="shared" si="10"/>
        <v>Affected</v>
      </c>
      <c r="L651" t="str" cm="1">
        <f t="array" ref="L651">_xlfn.IFS(B651&gt;60,"Older Adult(&gt;60)",B651&gt;35,"Middle-aged Adult(36-60)",B651&gt;18,"Young Adult(19-35)",B651&gt;12,"Adolescent(13-18)",B651&gt;0,"Child(&lt;13)")</f>
        <v>Child(&lt;13)</v>
      </c>
    </row>
    <row r="652" spans="1:12">
      <c r="A652" t="s">
        <v>15</v>
      </c>
      <c r="B652">
        <v>27</v>
      </c>
      <c r="C652">
        <v>1</v>
      </c>
      <c r="D652">
        <v>1</v>
      </c>
      <c r="E652">
        <v>1</v>
      </c>
      <c r="F652" t="s">
        <v>23</v>
      </c>
      <c r="G652" t="s">
        <v>12</v>
      </c>
      <c r="H652" t="s">
        <v>19</v>
      </c>
      <c r="I652" t="s">
        <v>14</v>
      </c>
      <c r="J652">
        <v>1</v>
      </c>
      <c r="K652" t="str">
        <f t="shared" si="10"/>
        <v>Affected</v>
      </c>
      <c r="L652" t="str" cm="1">
        <f t="array" ref="L652">_xlfn.IFS(B652&gt;60,"Older Adult(&gt;60)",B652&gt;35,"Middle-aged Adult(36-60)",B652&gt;18,"Young Adult(19-35)",B652&gt;12,"Adolescent(13-18)",B652&gt;0,"Child(&lt;13)")</f>
        <v>Young Adult(19-35)</v>
      </c>
    </row>
    <row r="653" spans="1:12">
      <c r="A653" t="s">
        <v>10</v>
      </c>
      <c r="B653">
        <v>56</v>
      </c>
      <c r="C653">
        <v>0</v>
      </c>
      <c r="D653">
        <v>0</v>
      </c>
      <c r="E653">
        <v>0</v>
      </c>
      <c r="F653" t="s">
        <v>27</v>
      </c>
      <c r="G653" t="s">
        <v>17</v>
      </c>
      <c r="H653" t="s">
        <v>13</v>
      </c>
      <c r="I653" t="s">
        <v>14</v>
      </c>
      <c r="J653">
        <v>0</v>
      </c>
      <c r="K653" t="str">
        <f t="shared" si="10"/>
        <v>Not Affected</v>
      </c>
      <c r="L653" t="str" cm="1">
        <f t="array" ref="L653">_xlfn.IFS(B653&gt;60,"Older Adult(&gt;60)",B653&gt;35,"Middle-aged Adult(36-60)",B653&gt;18,"Young Adult(19-35)",B653&gt;12,"Adolescent(13-18)",B653&gt;0,"Child(&lt;13)")</f>
        <v>Middle-aged Adult(36-60)</v>
      </c>
    </row>
    <row r="654" spans="1:12">
      <c r="A654" t="s">
        <v>15</v>
      </c>
      <c r="B654">
        <v>26</v>
      </c>
      <c r="C654">
        <v>0</v>
      </c>
      <c r="D654">
        <v>0</v>
      </c>
      <c r="E654">
        <v>0</v>
      </c>
      <c r="F654" t="s">
        <v>42</v>
      </c>
      <c r="G654" t="s">
        <v>12</v>
      </c>
      <c r="H654" t="s">
        <v>13</v>
      </c>
      <c r="I654" t="s">
        <v>14</v>
      </c>
      <c r="J654">
        <v>0</v>
      </c>
      <c r="K654" t="str">
        <f t="shared" si="10"/>
        <v>Not Affected</v>
      </c>
      <c r="L654" t="str" cm="1">
        <f t="array" ref="L654">_xlfn.IFS(B654&gt;60,"Older Adult(&gt;60)",B654&gt;35,"Middle-aged Adult(36-60)",B654&gt;18,"Young Adult(19-35)",B654&gt;12,"Adolescent(13-18)",B654&gt;0,"Child(&lt;13)")</f>
        <v>Young Adult(19-35)</v>
      </c>
    </row>
    <row r="655" spans="1:12">
      <c r="A655" t="s">
        <v>15</v>
      </c>
      <c r="B655">
        <v>15</v>
      </c>
      <c r="C655">
        <v>1</v>
      </c>
      <c r="D655">
        <v>1</v>
      </c>
      <c r="E655">
        <v>0</v>
      </c>
      <c r="F655" t="s">
        <v>21</v>
      </c>
      <c r="G655" t="s">
        <v>17</v>
      </c>
      <c r="H655" t="s">
        <v>19</v>
      </c>
      <c r="I655" t="s">
        <v>14</v>
      </c>
      <c r="J655">
        <v>1</v>
      </c>
      <c r="K655" t="str">
        <f t="shared" si="10"/>
        <v>Affected</v>
      </c>
      <c r="L655" t="str" cm="1">
        <f t="array" ref="L655">_xlfn.IFS(B655&gt;60,"Older Adult(&gt;60)",B655&gt;35,"Middle-aged Adult(36-60)",B655&gt;18,"Young Adult(19-35)",B655&gt;12,"Adolescent(13-18)",B655&gt;0,"Child(&lt;13)")</f>
        <v>Adolescent(13-18)</v>
      </c>
    </row>
    <row r="656" spans="1:12">
      <c r="A656" t="s">
        <v>10</v>
      </c>
      <c r="B656">
        <v>10</v>
      </c>
      <c r="C656">
        <v>1</v>
      </c>
      <c r="D656">
        <v>1</v>
      </c>
      <c r="E656">
        <v>1</v>
      </c>
      <c r="F656" t="s">
        <v>21</v>
      </c>
      <c r="G656" t="s">
        <v>12</v>
      </c>
      <c r="H656" t="s">
        <v>19</v>
      </c>
      <c r="I656" t="s">
        <v>14</v>
      </c>
      <c r="J656">
        <v>1</v>
      </c>
      <c r="K656" t="str">
        <f t="shared" si="10"/>
        <v>Affected</v>
      </c>
      <c r="L656" t="str" cm="1">
        <f t="array" ref="L656">_xlfn.IFS(B656&gt;60,"Older Adult(&gt;60)",B656&gt;35,"Middle-aged Adult(36-60)",B656&gt;18,"Young Adult(19-35)",B656&gt;12,"Adolescent(13-18)",B656&gt;0,"Child(&lt;13)")</f>
        <v>Child(&lt;13)</v>
      </c>
    </row>
    <row r="657" spans="1:12">
      <c r="A657" t="s">
        <v>15</v>
      </c>
      <c r="B657">
        <v>24</v>
      </c>
      <c r="C657">
        <v>1</v>
      </c>
      <c r="D657">
        <v>1</v>
      </c>
      <c r="E657">
        <v>1</v>
      </c>
      <c r="F657" t="s">
        <v>34</v>
      </c>
      <c r="G657" t="s">
        <v>17</v>
      </c>
      <c r="H657" t="s">
        <v>24</v>
      </c>
      <c r="I657" t="s">
        <v>14</v>
      </c>
      <c r="J657">
        <v>1</v>
      </c>
      <c r="K657" t="str">
        <f t="shared" si="10"/>
        <v>Affected</v>
      </c>
      <c r="L657" t="str" cm="1">
        <f t="array" ref="L657">_xlfn.IFS(B657&gt;60,"Older Adult(&gt;60)",B657&gt;35,"Middle-aged Adult(36-60)",B657&gt;18,"Young Adult(19-35)",B657&gt;12,"Adolescent(13-18)",B657&gt;0,"Child(&lt;13)")</f>
        <v>Young Adult(19-35)</v>
      </c>
    </row>
    <row r="658" spans="1:12">
      <c r="A658" t="s">
        <v>10</v>
      </c>
      <c r="B658">
        <v>51</v>
      </c>
      <c r="C658">
        <v>0</v>
      </c>
      <c r="D658">
        <v>0</v>
      </c>
      <c r="E658">
        <v>1</v>
      </c>
      <c r="F658" t="s">
        <v>46</v>
      </c>
      <c r="G658" t="s">
        <v>12</v>
      </c>
      <c r="H658" t="s">
        <v>24</v>
      </c>
      <c r="I658" t="s">
        <v>14</v>
      </c>
      <c r="J658">
        <v>0</v>
      </c>
      <c r="K658" t="str">
        <f t="shared" si="10"/>
        <v>Not Affected</v>
      </c>
      <c r="L658" t="str" cm="1">
        <f t="array" ref="L658">_xlfn.IFS(B658&gt;60,"Older Adult(&gt;60)",B658&gt;35,"Middle-aged Adult(36-60)",B658&gt;18,"Young Adult(19-35)",B658&gt;12,"Adolescent(13-18)",B658&gt;0,"Child(&lt;13)")</f>
        <v>Middle-aged Adult(36-60)</v>
      </c>
    </row>
    <row r="659" spans="1:12">
      <c r="A659" t="s">
        <v>10</v>
      </c>
      <c r="B659">
        <v>41</v>
      </c>
      <c r="C659">
        <v>0</v>
      </c>
      <c r="D659">
        <v>0</v>
      </c>
      <c r="E659">
        <v>1</v>
      </c>
      <c r="F659" t="s">
        <v>18</v>
      </c>
      <c r="G659" t="s">
        <v>17</v>
      </c>
      <c r="H659" t="s">
        <v>19</v>
      </c>
      <c r="I659" t="s">
        <v>14</v>
      </c>
      <c r="J659">
        <v>0</v>
      </c>
      <c r="K659" t="str">
        <f t="shared" si="10"/>
        <v>Not Affected</v>
      </c>
      <c r="L659" t="str" cm="1">
        <f t="array" ref="L659">_xlfn.IFS(B659&gt;60,"Older Adult(&gt;60)",B659&gt;35,"Middle-aged Adult(36-60)",B659&gt;18,"Young Adult(19-35)",B659&gt;12,"Adolescent(13-18)",B659&gt;0,"Child(&lt;13)")</f>
        <v>Middle-aged Adult(36-60)</v>
      </c>
    </row>
    <row r="660" spans="1:12">
      <c r="A660" t="s">
        <v>15</v>
      </c>
      <c r="B660">
        <v>65</v>
      </c>
      <c r="C660">
        <v>1</v>
      </c>
      <c r="D660">
        <v>1</v>
      </c>
      <c r="E660">
        <v>0</v>
      </c>
      <c r="F660" t="s">
        <v>46</v>
      </c>
      <c r="G660" t="s">
        <v>12</v>
      </c>
      <c r="H660" t="s">
        <v>13</v>
      </c>
      <c r="I660" t="s">
        <v>14</v>
      </c>
      <c r="J660">
        <v>1</v>
      </c>
      <c r="K660" t="str">
        <f t="shared" si="10"/>
        <v>Affected</v>
      </c>
      <c r="L660" t="str" cm="1">
        <f t="array" ref="L660">_xlfn.IFS(B660&gt;60,"Older Adult(&gt;60)",B660&gt;35,"Middle-aged Adult(36-60)",B660&gt;18,"Young Adult(19-35)",B660&gt;12,"Adolescent(13-18)",B660&gt;0,"Child(&lt;13)")</f>
        <v>Older Adult(&gt;60)</v>
      </c>
    </row>
    <row r="661" spans="1:12">
      <c r="A661" t="s">
        <v>10</v>
      </c>
      <c r="B661">
        <v>51</v>
      </c>
      <c r="C661">
        <v>0</v>
      </c>
      <c r="D661">
        <v>0</v>
      </c>
      <c r="E661">
        <v>1</v>
      </c>
      <c r="F661" t="s">
        <v>22</v>
      </c>
      <c r="G661" t="s">
        <v>17</v>
      </c>
      <c r="H661" t="s">
        <v>13</v>
      </c>
      <c r="I661" t="s">
        <v>14</v>
      </c>
      <c r="J661">
        <v>0</v>
      </c>
      <c r="K661" t="str">
        <f t="shared" si="10"/>
        <v>Not Affected</v>
      </c>
      <c r="L661" t="str" cm="1">
        <f t="array" ref="L661">_xlfn.IFS(B661&gt;60,"Older Adult(&gt;60)",B661&gt;35,"Middle-aged Adult(36-60)",B661&gt;18,"Young Adult(19-35)",B661&gt;12,"Adolescent(13-18)",B661&gt;0,"Child(&lt;13)")</f>
        <v>Middle-aged Adult(36-60)</v>
      </c>
    </row>
    <row r="662" spans="1:12">
      <c r="A662" t="s">
        <v>15</v>
      </c>
      <c r="B662">
        <v>18</v>
      </c>
      <c r="C662">
        <v>0</v>
      </c>
      <c r="D662">
        <v>0</v>
      </c>
      <c r="E662">
        <v>0</v>
      </c>
      <c r="F662" t="s">
        <v>23</v>
      </c>
      <c r="G662" t="s">
        <v>12</v>
      </c>
      <c r="H662" t="s">
        <v>13</v>
      </c>
      <c r="I662" t="s">
        <v>14</v>
      </c>
      <c r="J662">
        <v>0</v>
      </c>
      <c r="K662" t="str">
        <f t="shared" si="10"/>
        <v>Not Affected</v>
      </c>
      <c r="L662" t="str" cm="1">
        <f t="array" ref="L662">_xlfn.IFS(B662&gt;60,"Older Adult(&gt;60)",B662&gt;35,"Middle-aged Adult(36-60)",B662&gt;18,"Young Adult(19-35)",B662&gt;12,"Adolescent(13-18)",B662&gt;0,"Child(&lt;13)")</f>
        <v>Adolescent(13-18)</v>
      </c>
    </row>
    <row r="663" spans="1:12">
      <c r="A663" t="s">
        <v>15</v>
      </c>
      <c r="B663">
        <v>31</v>
      </c>
      <c r="C663">
        <v>0</v>
      </c>
      <c r="D663">
        <v>0</v>
      </c>
      <c r="E663">
        <v>1</v>
      </c>
      <c r="F663" t="s">
        <v>42</v>
      </c>
      <c r="G663" t="s">
        <v>17</v>
      </c>
      <c r="H663" t="s">
        <v>13</v>
      </c>
      <c r="I663" t="s">
        <v>14</v>
      </c>
      <c r="J663">
        <v>0</v>
      </c>
      <c r="K663" t="str">
        <f t="shared" si="10"/>
        <v>Not Affected</v>
      </c>
      <c r="L663" t="str" cm="1">
        <f t="array" ref="L663">_xlfn.IFS(B663&gt;60,"Older Adult(&gt;60)",B663&gt;35,"Middle-aged Adult(36-60)",B663&gt;18,"Young Adult(19-35)",B663&gt;12,"Adolescent(13-18)",B663&gt;0,"Child(&lt;13)")</f>
        <v>Young Adult(19-35)</v>
      </c>
    </row>
    <row r="664" spans="1:12">
      <c r="A664" t="s">
        <v>15</v>
      </c>
      <c r="B664">
        <v>30</v>
      </c>
      <c r="C664">
        <v>1</v>
      </c>
      <c r="D664">
        <v>1</v>
      </c>
      <c r="E664">
        <v>0</v>
      </c>
      <c r="F664" t="s">
        <v>48</v>
      </c>
      <c r="G664" t="s">
        <v>12</v>
      </c>
      <c r="H664" t="s">
        <v>13</v>
      </c>
      <c r="I664" t="s">
        <v>14</v>
      </c>
      <c r="J664">
        <v>1</v>
      </c>
      <c r="K664" t="str">
        <f t="shared" si="10"/>
        <v>Affected</v>
      </c>
      <c r="L664" t="str" cm="1">
        <f t="array" ref="L664">_xlfn.IFS(B664&gt;60,"Older Adult(&gt;60)",B664&gt;35,"Middle-aged Adult(36-60)",B664&gt;18,"Young Adult(19-35)",B664&gt;12,"Adolescent(13-18)",B664&gt;0,"Child(&lt;13)")</f>
        <v>Young Adult(19-35)</v>
      </c>
    </row>
    <row r="665" spans="1:12">
      <c r="A665" t="s">
        <v>15</v>
      </c>
      <c r="B665">
        <v>14</v>
      </c>
      <c r="C665">
        <v>1</v>
      </c>
      <c r="D665">
        <v>1</v>
      </c>
      <c r="E665">
        <v>1</v>
      </c>
      <c r="F665" t="s">
        <v>44</v>
      </c>
      <c r="G665" t="s">
        <v>17</v>
      </c>
      <c r="H665" t="s">
        <v>24</v>
      </c>
      <c r="I665" t="s">
        <v>14</v>
      </c>
      <c r="J665">
        <v>1</v>
      </c>
      <c r="K665" t="str">
        <f t="shared" si="10"/>
        <v>Affected</v>
      </c>
      <c r="L665" t="str" cm="1">
        <f t="array" ref="L665">_xlfn.IFS(B665&gt;60,"Older Adult(&gt;60)",B665&gt;35,"Middle-aged Adult(36-60)",B665&gt;18,"Young Adult(19-35)",B665&gt;12,"Adolescent(13-18)",B665&gt;0,"Child(&lt;13)")</f>
        <v>Adolescent(13-18)</v>
      </c>
    </row>
    <row r="666" spans="1:12">
      <c r="A666" t="s">
        <v>15</v>
      </c>
      <c r="B666">
        <v>17</v>
      </c>
      <c r="C666">
        <v>1</v>
      </c>
      <c r="D666">
        <v>1</v>
      </c>
      <c r="E666">
        <v>0</v>
      </c>
      <c r="F666" t="s">
        <v>23</v>
      </c>
      <c r="G666" t="s">
        <v>12</v>
      </c>
      <c r="H666" t="s">
        <v>19</v>
      </c>
      <c r="I666" t="s">
        <v>14</v>
      </c>
      <c r="J666">
        <v>1</v>
      </c>
      <c r="K666" t="str">
        <f t="shared" si="10"/>
        <v>Affected</v>
      </c>
      <c r="L666" t="str" cm="1">
        <f t="array" ref="L666">_xlfn.IFS(B666&gt;60,"Older Adult(&gt;60)",B666&gt;35,"Middle-aged Adult(36-60)",B666&gt;18,"Young Adult(19-35)",B666&gt;12,"Adolescent(13-18)",B666&gt;0,"Child(&lt;13)")</f>
        <v>Adolescent(13-18)</v>
      </c>
    </row>
    <row r="667" spans="1:12">
      <c r="A667" t="s">
        <v>15</v>
      </c>
      <c r="B667">
        <v>63</v>
      </c>
      <c r="C667">
        <v>1</v>
      </c>
      <c r="D667">
        <v>1</v>
      </c>
      <c r="E667">
        <v>0</v>
      </c>
      <c r="F667" t="s">
        <v>47</v>
      </c>
      <c r="G667" t="s">
        <v>17</v>
      </c>
      <c r="H667" t="s">
        <v>24</v>
      </c>
      <c r="I667" t="s">
        <v>14</v>
      </c>
      <c r="J667">
        <v>1</v>
      </c>
      <c r="K667" t="str">
        <f t="shared" si="10"/>
        <v>Affected</v>
      </c>
      <c r="L667" t="str" cm="1">
        <f t="array" ref="L667">_xlfn.IFS(B667&gt;60,"Older Adult(&gt;60)",B667&gt;35,"Middle-aged Adult(36-60)",B667&gt;18,"Young Adult(19-35)",B667&gt;12,"Adolescent(13-18)",B667&gt;0,"Child(&lt;13)")</f>
        <v>Older Adult(&gt;60)</v>
      </c>
    </row>
    <row r="668" spans="1:12">
      <c r="A668" t="s">
        <v>15</v>
      </c>
      <c r="B668">
        <v>49</v>
      </c>
      <c r="C668">
        <v>1</v>
      </c>
      <c r="D668">
        <v>1</v>
      </c>
      <c r="E668">
        <v>0</v>
      </c>
      <c r="F668" t="s">
        <v>16</v>
      </c>
      <c r="G668" t="s">
        <v>12</v>
      </c>
      <c r="H668" t="s">
        <v>13</v>
      </c>
      <c r="I668" t="s">
        <v>14</v>
      </c>
      <c r="J668">
        <v>1</v>
      </c>
      <c r="K668" t="str">
        <f t="shared" si="10"/>
        <v>Affected</v>
      </c>
      <c r="L668" t="str" cm="1">
        <f t="array" ref="L668">_xlfn.IFS(B668&gt;60,"Older Adult(&gt;60)",B668&gt;35,"Middle-aged Adult(36-60)",B668&gt;18,"Young Adult(19-35)",B668&gt;12,"Adolescent(13-18)",B668&gt;0,"Child(&lt;13)")</f>
        <v>Middle-aged Adult(36-60)</v>
      </c>
    </row>
    <row r="669" spans="1:12">
      <c r="A669" t="s">
        <v>10</v>
      </c>
      <c r="B669">
        <v>55</v>
      </c>
      <c r="C669">
        <v>0</v>
      </c>
      <c r="D669">
        <v>0</v>
      </c>
      <c r="E669">
        <v>0</v>
      </c>
      <c r="F669" t="s">
        <v>49</v>
      </c>
      <c r="G669" t="s">
        <v>17</v>
      </c>
      <c r="H669" t="s">
        <v>13</v>
      </c>
      <c r="I669" t="s">
        <v>14</v>
      </c>
      <c r="J669">
        <v>0</v>
      </c>
      <c r="K669" t="str">
        <f t="shared" si="10"/>
        <v>Not Affected</v>
      </c>
      <c r="L669" t="str" cm="1">
        <f t="array" ref="L669">_xlfn.IFS(B669&gt;60,"Older Adult(&gt;60)",B669&gt;35,"Middle-aged Adult(36-60)",B669&gt;18,"Young Adult(19-35)",B669&gt;12,"Adolescent(13-18)",B669&gt;0,"Child(&lt;13)")</f>
        <v>Middle-aged Adult(36-60)</v>
      </c>
    </row>
    <row r="670" spans="1:12">
      <c r="A670" t="s">
        <v>10</v>
      </c>
      <c r="B670">
        <v>17</v>
      </c>
      <c r="C670">
        <v>1</v>
      </c>
      <c r="D670">
        <v>1</v>
      </c>
      <c r="E670">
        <v>0</v>
      </c>
      <c r="F670" t="s">
        <v>39</v>
      </c>
      <c r="G670" t="s">
        <v>12</v>
      </c>
      <c r="H670" t="s">
        <v>19</v>
      </c>
      <c r="I670" t="s">
        <v>14</v>
      </c>
      <c r="J670">
        <v>1</v>
      </c>
      <c r="K670" t="str">
        <f t="shared" si="10"/>
        <v>Affected</v>
      </c>
      <c r="L670" t="str" cm="1">
        <f t="array" ref="L670">_xlfn.IFS(B670&gt;60,"Older Adult(&gt;60)",B670&gt;35,"Middle-aged Adult(36-60)",B670&gt;18,"Young Adult(19-35)",B670&gt;12,"Adolescent(13-18)",B670&gt;0,"Child(&lt;13)")</f>
        <v>Adolescent(13-18)</v>
      </c>
    </row>
    <row r="671" spans="1:12">
      <c r="A671" t="s">
        <v>15</v>
      </c>
      <c r="B671">
        <v>17</v>
      </c>
      <c r="C671">
        <v>0</v>
      </c>
      <c r="D671">
        <v>0</v>
      </c>
      <c r="E671">
        <v>1</v>
      </c>
      <c r="F671" t="s">
        <v>23</v>
      </c>
      <c r="G671" t="s">
        <v>17</v>
      </c>
      <c r="H671" t="s">
        <v>24</v>
      </c>
      <c r="I671" t="s">
        <v>14</v>
      </c>
      <c r="J671">
        <v>0</v>
      </c>
      <c r="K671" t="str">
        <f t="shared" si="10"/>
        <v>Not Affected</v>
      </c>
      <c r="L671" t="str" cm="1">
        <f t="array" ref="L671">_xlfn.IFS(B671&gt;60,"Older Adult(&gt;60)",B671&gt;35,"Middle-aged Adult(36-60)",B671&gt;18,"Young Adult(19-35)",B671&gt;12,"Adolescent(13-18)",B671&gt;0,"Child(&lt;13)")</f>
        <v>Adolescent(13-18)</v>
      </c>
    </row>
    <row r="672" spans="1:12">
      <c r="A672" t="s">
        <v>15</v>
      </c>
      <c r="B672">
        <v>55</v>
      </c>
      <c r="C672">
        <v>1</v>
      </c>
      <c r="D672">
        <v>1</v>
      </c>
      <c r="E672">
        <v>1</v>
      </c>
      <c r="F672" t="s">
        <v>34</v>
      </c>
      <c r="G672" t="s">
        <v>12</v>
      </c>
      <c r="H672" t="s">
        <v>13</v>
      </c>
      <c r="I672" t="s">
        <v>14</v>
      </c>
      <c r="J672">
        <v>1</v>
      </c>
      <c r="K672" t="str">
        <f t="shared" si="10"/>
        <v>Affected</v>
      </c>
      <c r="L672" t="str" cm="1">
        <f t="array" ref="L672">_xlfn.IFS(B672&gt;60,"Older Adult(&gt;60)",B672&gt;35,"Middle-aged Adult(36-60)",B672&gt;18,"Young Adult(19-35)",B672&gt;12,"Adolescent(13-18)",B672&gt;0,"Child(&lt;13)")</f>
        <v>Middle-aged Adult(36-60)</v>
      </c>
    </row>
    <row r="673" spans="1:12">
      <c r="A673" t="s">
        <v>10</v>
      </c>
      <c r="B673">
        <v>57</v>
      </c>
      <c r="C673">
        <v>1</v>
      </c>
      <c r="D673">
        <v>1</v>
      </c>
      <c r="E673">
        <v>0</v>
      </c>
      <c r="F673" t="s">
        <v>45</v>
      </c>
      <c r="G673" t="s">
        <v>17</v>
      </c>
      <c r="H673" t="s">
        <v>19</v>
      </c>
      <c r="I673" t="s">
        <v>14</v>
      </c>
      <c r="J673">
        <v>1</v>
      </c>
      <c r="K673" t="str">
        <f t="shared" si="10"/>
        <v>Affected</v>
      </c>
      <c r="L673" t="str" cm="1">
        <f t="array" ref="L673">_xlfn.IFS(B673&gt;60,"Older Adult(&gt;60)",B673&gt;35,"Middle-aged Adult(36-60)",B673&gt;18,"Young Adult(19-35)",B673&gt;12,"Adolescent(13-18)",B673&gt;0,"Child(&lt;13)")</f>
        <v>Middle-aged Adult(36-60)</v>
      </c>
    </row>
    <row r="674" spans="1:12">
      <c r="A674" t="s">
        <v>15</v>
      </c>
      <c r="B674">
        <v>45</v>
      </c>
      <c r="C674">
        <v>0</v>
      </c>
      <c r="D674">
        <v>0</v>
      </c>
      <c r="E674">
        <v>0</v>
      </c>
      <c r="F674" t="s">
        <v>27</v>
      </c>
      <c r="G674" t="s">
        <v>12</v>
      </c>
      <c r="H674" t="s">
        <v>24</v>
      </c>
      <c r="I674" t="s">
        <v>14</v>
      </c>
      <c r="J674">
        <v>0</v>
      </c>
      <c r="K674" t="str">
        <f t="shared" si="10"/>
        <v>Not Affected</v>
      </c>
      <c r="L674" t="str" cm="1">
        <f t="array" ref="L674">_xlfn.IFS(B674&gt;60,"Older Adult(&gt;60)",B674&gt;35,"Middle-aged Adult(36-60)",B674&gt;18,"Young Adult(19-35)",B674&gt;12,"Adolescent(13-18)",B674&gt;0,"Child(&lt;13)")</f>
        <v>Middle-aged Adult(36-60)</v>
      </c>
    </row>
    <row r="675" spans="1:12">
      <c r="A675" t="s">
        <v>10</v>
      </c>
      <c r="B675">
        <v>37</v>
      </c>
      <c r="C675">
        <v>0</v>
      </c>
      <c r="D675">
        <v>0</v>
      </c>
      <c r="E675">
        <v>0</v>
      </c>
      <c r="F675" t="s">
        <v>28</v>
      </c>
      <c r="G675" t="s">
        <v>17</v>
      </c>
      <c r="H675" t="s">
        <v>13</v>
      </c>
      <c r="I675" t="s">
        <v>14</v>
      </c>
      <c r="J675">
        <v>0</v>
      </c>
      <c r="K675" t="str">
        <f t="shared" si="10"/>
        <v>Not Affected</v>
      </c>
      <c r="L675" t="str" cm="1">
        <f t="array" ref="L675">_xlfn.IFS(B675&gt;60,"Older Adult(&gt;60)",B675&gt;35,"Middle-aged Adult(36-60)",B675&gt;18,"Young Adult(19-35)",B675&gt;12,"Adolescent(13-18)",B675&gt;0,"Child(&lt;13)")</f>
        <v>Middle-aged Adult(36-60)</v>
      </c>
    </row>
    <row r="676" spans="1:12">
      <c r="A676" t="s">
        <v>15</v>
      </c>
      <c r="B676">
        <v>47</v>
      </c>
      <c r="C676">
        <v>1</v>
      </c>
      <c r="D676">
        <v>1</v>
      </c>
      <c r="E676">
        <v>1</v>
      </c>
      <c r="F676" t="s">
        <v>34</v>
      </c>
      <c r="G676" t="s">
        <v>12</v>
      </c>
      <c r="H676" t="s">
        <v>19</v>
      </c>
      <c r="I676" t="s">
        <v>14</v>
      </c>
      <c r="J676">
        <v>1</v>
      </c>
      <c r="K676" t="str">
        <f t="shared" si="10"/>
        <v>Affected</v>
      </c>
      <c r="L676" t="str" cm="1">
        <f t="array" ref="L676">_xlfn.IFS(B676&gt;60,"Older Adult(&gt;60)",B676&gt;35,"Middle-aged Adult(36-60)",B676&gt;18,"Young Adult(19-35)",B676&gt;12,"Adolescent(13-18)",B676&gt;0,"Child(&lt;13)")</f>
        <v>Middle-aged Adult(36-60)</v>
      </c>
    </row>
    <row r="677" spans="1:12">
      <c r="A677" t="s">
        <v>10</v>
      </c>
      <c r="B677">
        <v>49</v>
      </c>
      <c r="C677">
        <v>1</v>
      </c>
      <c r="D677">
        <v>1</v>
      </c>
      <c r="E677">
        <v>1</v>
      </c>
      <c r="F677" t="s">
        <v>30</v>
      </c>
      <c r="G677" t="s">
        <v>17</v>
      </c>
      <c r="H677" t="s">
        <v>24</v>
      </c>
      <c r="I677" t="s">
        <v>14</v>
      </c>
      <c r="J677">
        <v>1</v>
      </c>
      <c r="K677" t="str">
        <f t="shared" si="10"/>
        <v>Affected</v>
      </c>
      <c r="L677" t="str" cm="1">
        <f t="array" ref="L677">_xlfn.IFS(B677&gt;60,"Older Adult(&gt;60)",B677&gt;35,"Middle-aged Adult(36-60)",B677&gt;18,"Young Adult(19-35)",B677&gt;12,"Adolescent(13-18)",B677&gt;0,"Child(&lt;13)")</f>
        <v>Middle-aged Adult(36-60)</v>
      </c>
    </row>
    <row r="678" spans="1:12">
      <c r="A678" t="s">
        <v>10</v>
      </c>
      <c r="B678">
        <v>32</v>
      </c>
      <c r="C678">
        <v>1</v>
      </c>
      <c r="D678">
        <v>1</v>
      </c>
      <c r="E678">
        <v>0</v>
      </c>
      <c r="F678" t="s">
        <v>31</v>
      </c>
      <c r="G678" t="s">
        <v>12</v>
      </c>
      <c r="H678" t="s">
        <v>24</v>
      </c>
      <c r="I678" t="s">
        <v>14</v>
      </c>
      <c r="J678">
        <v>1</v>
      </c>
      <c r="K678" t="str">
        <f t="shared" si="10"/>
        <v>Affected</v>
      </c>
      <c r="L678" t="str" cm="1">
        <f t="array" ref="L678">_xlfn.IFS(B678&gt;60,"Older Adult(&gt;60)",B678&gt;35,"Middle-aged Adult(36-60)",B678&gt;18,"Young Adult(19-35)",B678&gt;12,"Adolescent(13-18)",B678&gt;0,"Child(&lt;13)")</f>
        <v>Young Adult(19-35)</v>
      </c>
    </row>
    <row r="679" spans="1:12">
      <c r="A679" t="s">
        <v>15</v>
      </c>
      <c r="B679">
        <v>33</v>
      </c>
      <c r="C679">
        <v>1</v>
      </c>
      <c r="D679">
        <v>1</v>
      </c>
      <c r="E679">
        <v>0</v>
      </c>
      <c r="F679" t="s">
        <v>32</v>
      </c>
      <c r="G679" t="s">
        <v>17</v>
      </c>
      <c r="H679" t="s">
        <v>13</v>
      </c>
      <c r="I679" t="s">
        <v>14</v>
      </c>
      <c r="J679">
        <v>1</v>
      </c>
      <c r="K679" t="str">
        <f t="shared" si="10"/>
        <v>Affected</v>
      </c>
      <c r="L679" t="str" cm="1">
        <f t="array" ref="L679">_xlfn.IFS(B679&gt;60,"Older Adult(&gt;60)",B679&gt;35,"Middle-aged Adult(36-60)",B679&gt;18,"Young Adult(19-35)",B679&gt;12,"Adolescent(13-18)",B679&gt;0,"Child(&lt;13)")</f>
        <v>Young Adult(19-35)</v>
      </c>
    </row>
    <row r="680" spans="1:12">
      <c r="A680" t="s">
        <v>10</v>
      </c>
      <c r="B680">
        <v>25</v>
      </c>
      <c r="C680">
        <v>0</v>
      </c>
      <c r="D680">
        <v>0</v>
      </c>
      <c r="E680">
        <v>0</v>
      </c>
      <c r="F680" t="s">
        <v>34</v>
      </c>
      <c r="G680" t="s">
        <v>12</v>
      </c>
      <c r="H680" t="s">
        <v>19</v>
      </c>
      <c r="I680" t="s">
        <v>14</v>
      </c>
      <c r="J680">
        <v>0</v>
      </c>
      <c r="K680" t="str">
        <f t="shared" si="10"/>
        <v>Not Affected</v>
      </c>
      <c r="L680" t="str" cm="1">
        <f t="array" ref="L680">_xlfn.IFS(B680&gt;60,"Older Adult(&gt;60)",B680&gt;35,"Middle-aged Adult(36-60)",B680&gt;18,"Young Adult(19-35)",B680&gt;12,"Adolescent(13-18)",B680&gt;0,"Child(&lt;13)")</f>
        <v>Young Adult(19-35)</v>
      </c>
    </row>
    <row r="681" spans="1:12">
      <c r="A681" t="s">
        <v>15</v>
      </c>
      <c r="B681">
        <v>24</v>
      </c>
      <c r="C681">
        <v>0</v>
      </c>
      <c r="D681">
        <v>0</v>
      </c>
      <c r="E681">
        <v>0</v>
      </c>
      <c r="F681" t="s">
        <v>46</v>
      </c>
      <c r="G681" t="s">
        <v>17</v>
      </c>
      <c r="H681" t="s">
        <v>13</v>
      </c>
      <c r="I681" t="s">
        <v>14</v>
      </c>
      <c r="J681">
        <v>0</v>
      </c>
      <c r="K681" t="str">
        <f t="shared" si="10"/>
        <v>Not Affected</v>
      </c>
      <c r="L681" t="str" cm="1">
        <f t="array" ref="L681">_xlfn.IFS(B681&gt;60,"Older Adult(&gt;60)",B681&gt;35,"Middle-aged Adult(36-60)",B681&gt;18,"Young Adult(19-35)",B681&gt;12,"Adolescent(13-18)",B681&gt;0,"Child(&lt;13)")</f>
        <v>Young Adult(19-35)</v>
      </c>
    </row>
    <row r="682" spans="1:12">
      <c r="A682" t="s">
        <v>15</v>
      </c>
      <c r="B682">
        <v>22</v>
      </c>
      <c r="C682">
        <v>0</v>
      </c>
      <c r="D682">
        <v>0</v>
      </c>
      <c r="E682">
        <v>0</v>
      </c>
      <c r="F682" t="s">
        <v>50</v>
      </c>
      <c r="G682" t="s">
        <v>12</v>
      </c>
      <c r="H682" t="s">
        <v>13</v>
      </c>
      <c r="I682" t="s">
        <v>14</v>
      </c>
      <c r="J682">
        <v>0</v>
      </c>
      <c r="K682" t="str">
        <f t="shared" si="10"/>
        <v>Not Affected</v>
      </c>
      <c r="L682" t="str" cm="1">
        <f t="array" ref="L682">_xlfn.IFS(B682&gt;60,"Older Adult(&gt;60)",B682&gt;35,"Middle-aged Adult(36-60)",B682&gt;18,"Young Adult(19-35)",B682&gt;12,"Adolescent(13-18)",B682&gt;0,"Child(&lt;13)")</f>
        <v>Young Adult(19-35)</v>
      </c>
    </row>
    <row r="683" spans="1:12">
      <c r="A683" t="s">
        <v>10</v>
      </c>
      <c r="B683">
        <v>52</v>
      </c>
      <c r="C683">
        <v>1</v>
      </c>
      <c r="D683">
        <v>1</v>
      </c>
      <c r="E683">
        <v>1</v>
      </c>
      <c r="F683" t="s">
        <v>20</v>
      </c>
      <c r="G683" t="s">
        <v>17</v>
      </c>
      <c r="H683" t="s">
        <v>13</v>
      </c>
      <c r="I683" t="s">
        <v>14</v>
      </c>
      <c r="J683">
        <v>1</v>
      </c>
      <c r="K683" t="str">
        <f t="shared" si="10"/>
        <v>Affected</v>
      </c>
      <c r="L683" t="str" cm="1">
        <f t="array" ref="L683">_xlfn.IFS(B683&gt;60,"Older Adult(&gt;60)",B683&gt;35,"Middle-aged Adult(36-60)",B683&gt;18,"Young Adult(19-35)",B683&gt;12,"Adolescent(13-18)",B683&gt;0,"Child(&lt;13)")</f>
        <v>Middle-aged Adult(36-60)</v>
      </c>
    </row>
    <row r="684" spans="1:12">
      <c r="A684" t="s">
        <v>10</v>
      </c>
      <c r="B684">
        <v>16</v>
      </c>
      <c r="C684">
        <v>1</v>
      </c>
      <c r="D684">
        <v>1</v>
      </c>
      <c r="E684">
        <v>0</v>
      </c>
      <c r="F684" t="s">
        <v>26</v>
      </c>
      <c r="G684" t="s">
        <v>12</v>
      </c>
      <c r="H684" t="s">
        <v>24</v>
      </c>
      <c r="I684" t="s">
        <v>14</v>
      </c>
      <c r="J684">
        <v>1</v>
      </c>
      <c r="K684" t="str">
        <f t="shared" si="10"/>
        <v>Affected</v>
      </c>
      <c r="L684" t="str" cm="1">
        <f t="array" ref="L684">_xlfn.IFS(B684&gt;60,"Older Adult(&gt;60)",B684&gt;35,"Middle-aged Adult(36-60)",B684&gt;18,"Young Adult(19-35)",B684&gt;12,"Adolescent(13-18)",B684&gt;0,"Child(&lt;13)")</f>
        <v>Adolescent(13-18)</v>
      </c>
    </row>
    <row r="685" spans="1:12">
      <c r="A685" t="s">
        <v>10</v>
      </c>
      <c r="B685">
        <v>19</v>
      </c>
      <c r="C685">
        <v>0</v>
      </c>
      <c r="D685">
        <v>0</v>
      </c>
      <c r="E685">
        <v>0</v>
      </c>
      <c r="F685" t="s">
        <v>22</v>
      </c>
      <c r="G685" t="s">
        <v>17</v>
      </c>
      <c r="H685" t="s">
        <v>13</v>
      </c>
      <c r="I685" t="s">
        <v>14</v>
      </c>
      <c r="J685">
        <v>0</v>
      </c>
      <c r="K685" t="str">
        <f t="shared" si="10"/>
        <v>Not Affected</v>
      </c>
      <c r="L685" t="str" cm="1">
        <f t="array" ref="L685">_xlfn.IFS(B685&gt;60,"Older Adult(&gt;60)",B685&gt;35,"Middle-aged Adult(36-60)",B685&gt;18,"Young Adult(19-35)",B685&gt;12,"Adolescent(13-18)",B685&gt;0,"Child(&lt;13)")</f>
        <v>Young Adult(19-35)</v>
      </c>
    </row>
    <row r="686" spans="1:12">
      <c r="A686" t="s">
        <v>10</v>
      </c>
      <c r="B686">
        <v>31</v>
      </c>
      <c r="C686">
        <v>0</v>
      </c>
      <c r="D686">
        <v>0</v>
      </c>
      <c r="E686">
        <v>1</v>
      </c>
      <c r="F686" t="s">
        <v>23</v>
      </c>
      <c r="G686" t="s">
        <v>12</v>
      </c>
      <c r="H686" t="s">
        <v>19</v>
      </c>
      <c r="I686" t="s">
        <v>14</v>
      </c>
      <c r="J686">
        <v>0</v>
      </c>
      <c r="K686" t="str">
        <f t="shared" si="10"/>
        <v>Not Affected</v>
      </c>
      <c r="L686" t="str" cm="1">
        <f t="array" ref="L686">_xlfn.IFS(B686&gt;60,"Older Adult(&gt;60)",B686&gt;35,"Middle-aged Adult(36-60)",B686&gt;18,"Young Adult(19-35)",B686&gt;12,"Adolescent(13-18)",B686&gt;0,"Child(&lt;13)")</f>
        <v>Young Adult(19-35)</v>
      </c>
    </row>
    <row r="687" spans="1:12">
      <c r="A687" t="s">
        <v>15</v>
      </c>
      <c r="B687">
        <v>46</v>
      </c>
      <c r="C687">
        <v>0</v>
      </c>
      <c r="D687">
        <v>0</v>
      </c>
      <c r="E687">
        <v>1</v>
      </c>
      <c r="F687" t="s">
        <v>47</v>
      </c>
      <c r="G687" t="s">
        <v>17</v>
      </c>
      <c r="H687" t="s">
        <v>19</v>
      </c>
      <c r="I687" t="s">
        <v>14</v>
      </c>
      <c r="J687">
        <v>0</v>
      </c>
      <c r="K687" t="str">
        <f t="shared" si="10"/>
        <v>Not Affected</v>
      </c>
      <c r="L687" t="str" cm="1">
        <f t="array" ref="L687">_xlfn.IFS(B687&gt;60,"Older Adult(&gt;60)",B687&gt;35,"Middle-aged Adult(36-60)",B687&gt;18,"Young Adult(19-35)",B687&gt;12,"Adolescent(13-18)",B687&gt;0,"Child(&lt;13)")</f>
        <v>Middle-aged Adult(36-60)</v>
      </c>
    </row>
    <row r="688" spans="1:12">
      <c r="A688" t="s">
        <v>15</v>
      </c>
      <c r="B688">
        <v>61</v>
      </c>
      <c r="C688">
        <v>1</v>
      </c>
      <c r="D688">
        <v>1</v>
      </c>
      <c r="E688">
        <v>0</v>
      </c>
      <c r="F688" t="s">
        <v>36</v>
      </c>
      <c r="G688" t="s">
        <v>12</v>
      </c>
      <c r="H688" t="s">
        <v>24</v>
      </c>
      <c r="I688" t="s">
        <v>14</v>
      </c>
      <c r="J688">
        <v>1</v>
      </c>
      <c r="K688" t="str">
        <f t="shared" si="10"/>
        <v>Affected</v>
      </c>
      <c r="L688" t="str" cm="1">
        <f t="array" ref="L688">_xlfn.IFS(B688&gt;60,"Older Adult(&gt;60)",B688&gt;35,"Middle-aged Adult(36-60)",B688&gt;18,"Young Adult(19-35)",B688&gt;12,"Adolescent(13-18)",B688&gt;0,"Child(&lt;13)")</f>
        <v>Older Adult(&gt;60)</v>
      </c>
    </row>
    <row r="689" spans="1:12">
      <c r="A689" t="s">
        <v>10</v>
      </c>
      <c r="B689">
        <v>35</v>
      </c>
      <c r="C689">
        <v>0</v>
      </c>
      <c r="D689">
        <v>0</v>
      </c>
      <c r="E689">
        <v>0</v>
      </c>
      <c r="F689" t="s">
        <v>36</v>
      </c>
      <c r="G689" t="s">
        <v>17</v>
      </c>
      <c r="H689" t="s">
        <v>24</v>
      </c>
      <c r="I689" t="s">
        <v>14</v>
      </c>
      <c r="J689">
        <v>0</v>
      </c>
      <c r="K689" t="str">
        <f t="shared" si="10"/>
        <v>Not Affected</v>
      </c>
      <c r="L689" t="str" cm="1">
        <f t="array" ref="L689">_xlfn.IFS(B689&gt;60,"Older Adult(&gt;60)",B689&gt;35,"Middle-aged Adult(36-60)",B689&gt;18,"Young Adult(19-35)",B689&gt;12,"Adolescent(13-18)",B689&gt;0,"Child(&lt;13)")</f>
        <v>Young Adult(19-35)</v>
      </c>
    </row>
    <row r="690" spans="1:12">
      <c r="A690" t="s">
        <v>10</v>
      </c>
      <c r="B690">
        <v>44</v>
      </c>
      <c r="C690">
        <v>1</v>
      </c>
      <c r="D690">
        <v>1</v>
      </c>
      <c r="E690">
        <v>1</v>
      </c>
      <c r="F690" t="s">
        <v>26</v>
      </c>
      <c r="G690" t="s">
        <v>12</v>
      </c>
      <c r="H690" t="s">
        <v>19</v>
      </c>
      <c r="I690" t="s">
        <v>14</v>
      </c>
      <c r="J690">
        <v>1</v>
      </c>
      <c r="K690" t="str">
        <f t="shared" si="10"/>
        <v>Affected</v>
      </c>
      <c r="L690" t="str" cm="1">
        <f t="array" ref="L690">_xlfn.IFS(B690&gt;60,"Older Adult(&gt;60)",B690&gt;35,"Middle-aged Adult(36-60)",B690&gt;18,"Young Adult(19-35)",B690&gt;12,"Adolescent(13-18)",B690&gt;0,"Child(&lt;13)")</f>
        <v>Middle-aged Adult(36-60)</v>
      </c>
    </row>
    <row r="691" spans="1:12">
      <c r="A691" t="s">
        <v>10</v>
      </c>
      <c r="B691">
        <v>12</v>
      </c>
      <c r="C691">
        <v>0</v>
      </c>
      <c r="D691">
        <v>0</v>
      </c>
      <c r="E691">
        <v>1</v>
      </c>
      <c r="F691" t="s">
        <v>38</v>
      </c>
      <c r="G691" t="s">
        <v>17</v>
      </c>
      <c r="H691" t="s">
        <v>24</v>
      </c>
      <c r="I691" t="s">
        <v>14</v>
      </c>
      <c r="J691">
        <v>0</v>
      </c>
      <c r="K691" t="str">
        <f t="shared" si="10"/>
        <v>Not Affected</v>
      </c>
      <c r="L691" t="str" cm="1">
        <f t="array" ref="L691">_xlfn.IFS(B691&gt;60,"Older Adult(&gt;60)",B691&gt;35,"Middle-aged Adult(36-60)",B691&gt;18,"Young Adult(19-35)",B691&gt;12,"Adolescent(13-18)",B691&gt;0,"Child(&lt;13)")</f>
        <v>Child(&lt;13)</v>
      </c>
    </row>
    <row r="692" spans="1:12">
      <c r="A692" t="s">
        <v>15</v>
      </c>
      <c r="B692">
        <v>51</v>
      </c>
      <c r="C692">
        <v>1</v>
      </c>
      <c r="D692">
        <v>1</v>
      </c>
      <c r="E692">
        <v>0</v>
      </c>
      <c r="F692" t="s">
        <v>27</v>
      </c>
      <c r="G692" t="s">
        <v>12</v>
      </c>
      <c r="H692" t="s">
        <v>19</v>
      </c>
      <c r="I692" t="s">
        <v>14</v>
      </c>
      <c r="J692">
        <v>1</v>
      </c>
      <c r="K692" t="str">
        <f t="shared" si="10"/>
        <v>Affected</v>
      </c>
      <c r="L692" t="str" cm="1">
        <f t="array" ref="L692">_xlfn.IFS(B692&gt;60,"Older Adult(&gt;60)",B692&gt;35,"Middle-aged Adult(36-60)",B692&gt;18,"Young Adult(19-35)",B692&gt;12,"Adolescent(13-18)",B692&gt;0,"Child(&lt;13)")</f>
        <v>Middle-aged Adult(36-60)</v>
      </c>
    </row>
    <row r="693" spans="1:12">
      <c r="A693" t="s">
        <v>10</v>
      </c>
      <c r="B693">
        <v>33</v>
      </c>
      <c r="C693">
        <v>1</v>
      </c>
      <c r="D693">
        <v>1</v>
      </c>
      <c r="E693">
        <v>1</v>
      </c>
      <c r="F693" t="s">
        <v>28</v>
      </c>
      <c r="G693" t="s">
        <v>17</v>
      </c>
      <c r="H693" t="s">
        <v>19</v>
      </c>
      <c r="I693" t="s">
        <v>14</v>
      </c>
      <c r="J693">
        <v>1</v>
      </c>
      <c r="K693" t="str">
        <f t="shared" si="10"/>
        <v>Affected</v>
      </c>
      <c r="L693" t="str" cm="1">
        <f t="array" ref="L693">_xlfn.IFS(B693&gt;60,"Older Adult(&gt;60)",B693&gt;35,"Middle-aged Adult(36-60)",B693&gt;18,"Young Adult(19-35)",B693&gt;12,"Adolescent(13-18)",B693&gt;0,"Child(&lt;13)")</f>
        <v>Young Adult(19-35)</v>
      </c>
    </row>
    <row r="694" spans="1:12">
      <c r="A694" t="s">
        <v>10</v>
      </c>
      <c r="B694">
        <v>53</v>
      </c>
      <c r="C694">
        <v>1</v>
      </c>
      <c r="D694">
        <v>1</v>
      </c>
      <c r="E694">
        <v>1</v>
      </c>
      <c r="F694" t="s">
        <v>33</v>
      </c>
      <c r="G694" t="s">
        <v>12</v>
      </c>
      <c r="H694" t="s">
        <v>13</v>
      </c>
      <c r="I694" t="s">
        <v>14</v>
      </c>
      <c r="J694">
        <v>1</v>
      </c>
      <c r="K694" t="str">
        <f t="shared" si="10"/>
        <v>Affected</v>
      </c>
      <c r="L694" t="str" cm="1">
        <f t="array" ref="L694">_xlfn.IFS(B694&gt;60,"Older Adult(&gt;60)",B694&gt;35,"Middle-aged Adult(36-60)",B694&gt;18,"Young Adult(19-35)",B694&gt;12,"Adolescent(13-18)",B694&gt;0,"Child(&lt;13)")</f>
        <v>Middle-aged Adult(36-60)</v>
      </c>
    </row>
    <row r="695" spans="1:12">
      <c r="A695" t="s">
        <v>15</v>
      </c>
      <c r="B695">
        <v>22</v>
      </c>
      <c r="C695">
        <v>0</v>
      </c>
      <c r="D695">
        <v>0</v>
      </c>
      <c r="E695">
        <v>0</v>
      </c>
      <c r="F695" t="s">
        <v>41</v>
      </c>
      <c r="G695" t="s">
        <v>17</v>
      </c>
      <c r="H695" t="s">
        <v>24</v>
      </c>
      <c r="I695" t="s">
        <v>14</v>
      </c>
      <c r="J695">
        <v>0</v>
      </c>
      <c r="K695" t="str">
        <f t="shared" si="10"/>
        <v>Not Affected</v>
      </c>
      <c r="L695" t="str" cm="1">
        <f t="array" ref="L695">_xlfn.IFS(B695&gt;60,"Older Adult(&gt;60)",B695&gt;35,"Middle-aged Adult(36-60)",B695&gt;18,"Young Adult(19-35)",B695&gt;12,"Adolescent(13-18)",B695&gt;0,"Child(&lt;13)")</f>
        <v>Young Adult(19-35)</v>
      </c>
    </row>
    <row r="696" spans="1:12">
      <c r="A696" t="s">
        <v>15</v>
      </c>
      <c r="B696">
        <v>32</v>
      </c>
      <c r="C696">
        <v>0</v>
      </c>
      <c r="D696">
        <v>0</v>
      </c>
      <c r="E696">
        <v>0</v>
      </c>
      <c r="F696" t="s">
        <v>35</v>
      </c>
      <c r="G696" t="s">
        <v>12</v>
      </c>
      <c r="H696" t="s">
        <v>19</v>
      </c>
      <c r="I696" t="s">
        <v>14</v>
      </c>
      <c r="J696">
        <v>0</v>
      </c>
      <c r="K696" t="str">
        <f t="shared" si="10"/>
        <v>Not Affected</v>
      </c>
      <c r="L696" t="str" cm="1">
        <f t="array" ref="L696">_xlfn.IFS(B696&gt;60,"Older Adult(&gt;60)",B696&gt;35,"Middle-aged Adult(36-60)",B696&gt;18,"Young Adult(19-35)",B696&gt;12,"Adolescent(13-18)",B696&gt;0,"Child(&lt;13)")</f>
        <v>Young Adult(19-35)</v>
      </c>
    </row>
    <row r="697" spans="1:12">
      <c r="A697" t="s">
        <v>15</v>
      </c>
      <c r="B697">
        <v>36</v>
      </c>
      <c r="C697">
        <v>0</v>
      </c>
      <c r="D697">
        <v>0</v>
      </c>
      <c r="E697">
        <v>1</v>
      </c>
      <c r="F697" t="s">
        <v>37</v>
      </c>
      <c r="G697" t="s">
        <v>17</v>
      </c>
      <c r="H697" t="s">
        <v>24</v>
      </c>
      <c r="I697" t="s">
        <v>14</v>
      </c>
      <c r="J697">
        <v>0</v>
      </c>
      <c r="K697" t="str">
        <f t="shared" si="10"/>
        <v>Not Affected</v>
      </c>
      <c r="L697" t="str" cm="1">
        <f t="array" ref="L697">_xlfn.IFS(B697&gt;60,"Older Adult(&gt;60)",B697&gt;35,"Middle-aged Adult(36-60)",B697&gt;18,"Young Adult(19-35)",B697&gt;12,"Adolescent(13-18)",B697&gt;0,"Child(&lt;13)")</f>
        <v>Middle-aged Adult(36-60)</v>
      </c>
    </row>
    <row r="698" spans="1:12">
      <c r="A698" t="s">
        <v>10</v>
      </c>
      <c r="B698">
        <v>14</v>
      </c>
      <c r="C698">
        <v>0</v>
      </c>
      <c r="D698">
        <v>0</v>
      </c>
      <c r="E698">
        <v>0</v>
      </c>
      <c r="F698" t="s">
        <v>23</v>
      </c>
      <c r="G698" t="s">
        <v>12</v>
      </c>
      <c r="H698" t="s">
        <v>24</v>
      </c>
      <c r="I698" t="s">
        <v>14</v>
      </c>
      <c r="J698">
        <v>0</v>
      </c>
      <c r="K698" t="str">
        <f t="shared" si="10"/>
        <v>Not Affected</v>
      </c>
      <c r="L698" t="str" cm="1">
        <f t="array" ref="L698">_xlfn.IFS(B698&gt;60,"Older Adult(&gt;60)",B698&gt;35,"Middle-aged Adult(36-60)",B698&gt;18,"Young Adult(19-35)",B698&gt;12,"Adolescent(13-18)",B698&gt;0,"Child(&lt;13)")</f>
        <v>Adolescent(13-18)</v>
      </c>
    </row>
    <row r="699" spans="1:12">
      <c r="A699" t="s">
        <v>15</v>
      </c>
      <c r="B699">
        <v>18</v>
      </c>
      <c r="C699">
        <v>1</v>
      </c>
      <c r="D699">
        <v>1</v>
      </c>
      <c r="E699">
        <v>0</v>
      </c>
      <c r="F699" t="s">
        <v>39</v>
      </c>
      <c r="G699" t="s">
        <v>17</v>
      </c>
      <c r="H699" t="s">
        <v>19</v>
      </c>
      <c r="I699" t="s">
        <v>14</v>
      </c>
      <c r="J699">
        <v>1</v>
      </c>
      <c r="K699" t="str">
        <f t="shared" si="10"/>
        <v>Affected</v>
      </c>
      <c r="L699" t="str" cm="1">
        <f t="array" ref="L699">_xlfn.IFS(B699&gt;60,"Older Adult(&gt;60)",B699&gt;35,"Middle-aged Adult(36-60)",B699&gt;18,"Young Adult(19-35)",B699&gt;12,"Adolescent(13-18)",B699&gt;0,"Child(&lt;13)")</f>
        <v>Adolescent(13-18)</v>
      </c>
    </row>
    <row r="700" spans="1:12">
      <c r="A700" t="s">
        <v>15</v>
      </c>
      <c r="B700">
        <v>52</v>
      </c>
      <c r="C700">
        <v>1</v>
      </c>
      <c r="D700">
        <v>1</v>
      </c>
      <c r="E700">
        <v>1</v>
      </c>
      <c r="F700" t="s">
        <v>47</v>
      </c>
      <c r="G700" t="s">
        <v>12</v>
      </c>
      <c r="H700" t="s">
        <v>13</v>
      </c>
      <c r="I700" t="s">
        <v>14</v>
      </c>
      <c r="J700">
        <v>1</v>
      </c>
      <c r="K700" t="str">
        <f t="shared" si="10"/>
        <v>Affected</v>
      </c>
      <c r="L700" t="str" cm="1">
        <f t="array" ref="L700">_xlfn.IFS(B700&gt;60,"Older Adult(&gt;60)",B700&gt;35,"Middle-aged Adult(36-60)",B700&gt;18,"Young Adult(19-35)",B700&gt;12,"Adolescent(13-18)",B700&gt;0,"Child(&lt;13)")</f>
        <v>Middle-aged Adult(36-60)</v>
      </c>
    </row>
    <row r="701" spans="1:12">
      <c r="A701" t="s">
        <v>10</v>
      </c>
      <c r="B701">
        <v>62</v>
      </c>
      <c r="C701">
        <v>0</v>
      </c>
      <c r="D701">
        <v>0</v>
      </c>
      <c r="E701">
        <v>1</v>
      </c>
      <c r="F701" t="s">
        <v>31</v>
      </c>
      <c r="G701" t="s">
        <v>17</v>
      </c>
      <c r="H701" t="s">
        <v>13</v>
      </c>
      <c r="I701" t="s">
        <v>14</v>
      </c>
      <c r="J701">
        <v>0</v>
      </c>
      <c r="K701" t="str">
        <f t="shared" si="10"/>
        <v>Not Affected</v>
      </c>
      <c r="L701" t="str" cm="1">
        <f t="array" ref="L701">_xlfn.IFS(B701&gt;60,"Older Adult(&gt;60)",B701&gt;35,"Middle-aged Adult(36-60)",B701&gt;18,"Young Adult(19-35)",B701&gt;12,"Adolescent(13-18)",B701&gt;0,"Child(&lt;13)")</f>
        <v>Older Adult(&gt;60)</v>
      </c>
    </row>
    <row r="702" spans="1:12">
      <c r="A702" t="s">
        <v>10</v>
      </c>
      <c r="B702">
        <v>41</v>
      </c>
      <c r="C702">
        <v>0</v>
      </c>
      <c r="D702">
        <v>0</v>
      </c>
      <c r="E702">
        <v>1</v>
      </c>
      <c r="F702" t="s">
        <v>47</v>
      </c>
      <c r="G702" t="s">
        <v>12</v>
      </c>
      <c r="H702" t="s">
        <v>19</v>
      </c>
      <c r="I702" t="s">
        <v>14</v>
      </c>
      <c r="J702">
        <v>0</v>
      </c>
      <c r="K702" t="str">
        <f t="shared" si="10"/>
        <v>Not Affected</v>
      </c>
      <c r="L702" t="str" cm="1">
        <f t="array" ref="L702">_xlfn.IFS(B702&gt;60,"Older Adult(&gt;60)",B702&gt;35,"Middle-aged Adult(36-60)",B702&gt;18,"Young Adult(19-35)",B702&gt;12,"Adolescent(13-18)",B702&gt;0,"Child(&lt;13)")</f>
        <v>Middle-aged Adult(36-60)</v>
      </c>
    </row>
    <row r="703" spans="1:12">
      <c r="A703" t="s">
        <v>10</v>
      </c>
      <c r="B703">
        <v>25</v>
      </c>
      <c r="C703">
        <v>0</v>
      </c>
      <c r="D703">
        <v>0</v>
      </c>
      <c r="E703">
        <v>1</v>
      </c>
      <c r="F703" t="s">
        <v>26</v>
      </c>
      <c r="G703" t="s">
        <v>17</v>
      </c>
      <c r="H703" t="s">
        <v>19</v>
      </c>
      <c r="I703" t="s">
        <v>14</v>
      </c>
      <c r="J703">
        <v>0</v>
      </c>
      <c r="K703" t="str">
        <f t="shared" si="10"/>
        <v>Not Affected</v>
      </c>
      <c r="L703" t="str" cm="1">
        <f t="array" ref="L703">_xlfn.IFS(B703&gt;60,"Older Adult(&gt;60)",B703&gt;35,"Middle-aged Adult(36-60)",B703&gt;18,"Young Adult(19-35)",B703&gt;12,"Adolescent(13-18)",B703&gt;0,"Child(&lt;13)")</f>
        <v>Young Adult(19-35)</v>
      </c>
    </row>
    <row r="704" spans="1:12">
      <c r="A704" t="s">
        <v>15</v>
      </c>
      <c r="B704">
        <v>31</v>
      </c>
      <c r="C704">
        <v>1</v>
      </c>
      <c r="D704">
        <v>1</v>
      </c>
      <c r="E704">
        <v>0</v>
      </c>
      <c r="F704" t="s">
        <v>44</v>
      </c>
      <c r="G704" t="s">
        <v>12</v>
      </c>
      <c r="H704" t="s">
        <v>19</v>
      </c>
      <c r="I704" t="s">
        <v>14</v>
      </c>
      <c r="J704">
        <v>1</v>
      </c>
      <c r="K704" t="str">
        <f t="shared" si="10"/>
        <v>Affected</v>
      </c>
      <c r="L704" t="str" cm="1">
        <f t="array" ref="L704">_xlfn.IFS(B704&gt;60,"Older Adult(&gt;60)",B704&gt;35,"Middle-aged Adult(36-60)",B704&gt;18,"Young Adult(19-35)",B704&gt;12,"Adolescent(13-18)",B704&gt;0,"Child(&lt;13)")</f>
        <v>Young Adult(19-35)</v>
      </c>
    </row>
    <row r="705" spans="1:12">
      <c r="A705" t="s">
        <v>10</v>
      </c>
      <c r="B705">
        <v>49</v>
      </c>
      <c r="C705">
        <v>0</v>
      </c>
      <c r="D705">
        <v>0</v>
      </c>
      <c r="E705">
        <v>0</v>
      </c>
      <c r="F705" t="s">
        <v>37</v>
      </c>
      <c r="G705" t="s">
        <v>17</v>
      </c>
      <c r="H705" t="s">
        <v>13</v>
      </c>
      <c r="I705" t="s">
        <v>14</v>
      </c>
      <c r="J705">
        <v>0</v>
      </c>
      <c r="K705" t="str">
        <f t="shared" si="10"/>
        <v>Not Affected</v>
      </c>
      <c r="L705" t="str" cm="1">
        <f t="array" ref="L705">_xlfn.IFS(B705&gt;60,"Older Adult(&gt;60)",B705&gt;35,"Middle-aged Adult(36-60)",B705&gt;18,"Young Adult(19-35)",B705&gt;12,"Adolescent(13-18)",B705&gt;0,"Child(&lt;13)")</f>
        <v>Middle-aged Adult(36-60)</v>
      </c>
    </row>
    <row r="706" spans="1:12">
      <c r="A706" t="s">
        <v>10</v>
      </c>
      <c r="B706">
        <v>39</v>
      </c>
      <c r="C706">
        <v>1</v>
      </c>
      <c r="D706">
        <v>1</v>
      </c>
      <c r="E706">
        <v>1</v>
      </c>
      <c r="F706" t="s">
        <v>38</v>
      </c>
      <c r="G706" t="s">
        <v>12</v>
      </c>
      <c r="H706" t="s">
        <v>19</v>
      </c>
      <c r="I706" t="s">
        <v>14</v>
      </c>
      <c r="J706">
        <v>1</v>
      </c>
      <c r="K706" t="str">
        <f t="shared" si="10"/>
        <v>Affected</v>
      </c>
      <c r="L706" t="str" cm="1">
        <f t="array" ref="L706">_xlfn.IFS(B706&gt;60,"Older Adult(&gt;60)",B706&gt;35,"Middle-aged Adult(36-60)",B706&gt;18,"Young Adult(19-35)",B706&gt;12,"Adolescent(13-18)",B706&gt;0,"Child(&lt;13)")</f>
        <v>Middle-aged Adult(36-60)</v>
      </c>
    </row>
    <row r="707" spans="1:12">
      <c r="A707" t="s">
        <v>10</v>
      </c>
      <c r="B707">
        <v>26</v>
      </c>
      <c r="C707">
        <v>0</v>
      </c>
      <c r="D707">
        <v>0</v>
      </c>
      <c r="E707">
        <v>0</v>
      </c>
      <c r="F707" t="s">
        <v>25</v>
      </c>
      <c r="G707" t="s">
        <v>17</v>
      </c>
      <c r="H707" t="s">
        <v>19</v>
      </c>
      <c r="I707" t="s">
        <v>14</v>
      </c>
      <c r="J707">
        <v>0</v>
      </c>
      <c r="K707" t="str">
        <f t="shared" ref="K707:K770" si="11">IF(J707=0, "Not Affected", "Affected")</f>
        <v>Not Affected</v>
      </c>
      <c r="L707" t="str" cm="1">
        <f t="array" ref="L707">_xlfn.IFS(B707&gt;60,"Older Adult(&gt;60)",B707&gt;35,"Middle-aged Adult(36-60)",B707&gt;18,"Young Adult(19-35)",B707&gt;12,"Adolescent(13-18)",B707&gt;0,"Child(&lt;13)")</f>
        <v>Young Adult(19-35)</v>
      </c>
    </row>
    <row r="708" spans="1:12">
      <c r="A708" t="s">
        <v>15</v>
      </c>
      <c r="B708">
        <v>24</v>
      </c>
      <c r="C708">
        <v>0</v>
      </c>
      <c r="D708">
        <v>0</v>
      </c>
      <c r="E708">
        <v>0</v>
      </c>
      <c r="F708" t="s">
        <v>40</v>
      </c>
      <c r="G708" t="s">
        <v>12</v>
      </c>
      <c r="H708" t="s">
        <v>24</v>
      </c>
      <c r="I708" t="s">
        <v>14</v>
      </c>
      <c r="J708">
        <v>0</v>
      </c>
      <c r="K708" t="str">
        <f t="shared" si="11"/>
        <v>Not Affected</v>
      </c>
      <c r="L708" t="str" cm="1">
        <f t="array" ref="L708">_xlfn.IFS(B708&gt;60,"Older Adult(&gt;60)",B708&gt;35,"Middle-aged Adult(36-60)",B708&gt;18,"Young Adult(19-35)",B708&gt;12,"Adolescent(13-18)",B708&gt;0,"Child(&lt;13)")</f>
        <v>Young Adult(19-35)</v>
      </c>
    </row>
    <row r="709" spans="1:12">
      <c r="A709" t="s">
        <v>15</v>
      </c>
      <c r="B709">
        <v>30</v>
      </c>
      <c r="C709">
        <v>0</v>
      </c>
      <c r="D709">
        <v>0</v>
      </c>
      <c r="E709">
        <v>0</v>
      </c>
      <c r="F709" t="s">
        <v>32</v>
      </c>
      <c r="G709" t="s">
        <v>17</v>
      </c>
      <c r="H709" t="s">
        <v>24</v>
      </c>
      <c r="I709" t="s">
        <v>14</v>
      </c>
      <c r="J709">
        <v>0</v>
      </c>
      <c r="K709" t="str">
        <f t="shared" si="11"/>
        <v>Not Affected</v>
      </c>
      <c r="L709" t="str" cm="1">
        <f t="array" ref="L709">_xlfn.IFS(B709&gt;60,"Older Adult(&gt;60)",B709&gt;35,"Middle-aged Adult(36-60)",B709&gt;18,"Young Adult(19-35)",B709&gt;12,"Adolescent(13-18)",B709&gt;0,"Child(&lt;13)")</f>
        <v>Young Adult(19-35)</v>
      </c>
    </row>
    <row r="710" spans="1:12">
      <c r="A710" t="s">
        <v>15</v>
      </c>
      <c r="B710">
        <v>20</v>
      </c>
      <c r="C710">
        <v>1</v>
      </c>
      <c r="D710">
        <v>1</v>
      </c>
      <c r="E710">
        <v>1</v>
      </c>
      <c r="F710" t="s">
        <v>27</v>
      </c>
      <c r="G710" t="s">
        <v>12</v>
      </c>
      <c r="H710" t="s">
        <v>13</v>
      </c>
      <c r="I710" t="s">
        <v>14</v>
      </c>
      <c r="J710">
        <v>1</v>
      </c>
      <c r="K710" t="str">
        <f t="shared" si="11"/>
        <v>Affected</v>
      </c>
      <c r="L710" t="str" cm="1">
        <f t="array" ref="L710">_xlfn.IFS(B710&gt;60,"Older Adult(&gt;60)",B710&gt;35,"Middle-aged Adult(36-60)",B710&gt;18,"Young Adult(19-35)",B710&gt;12,"Adolescent(13-18)",B710&gt;0,"Child(&lt;13)")</f>
        <v>Young Adult(19-35)</v>
      </c>
    </row>
    <row r="711" spans="1:12">
      <c r="A711" t="s">
        <v>10</v>
      </c>
      <c r="B711">
        <v>50</v>
      </c>
      <c r="C711">
        <v>1</v>
      </c>
      <c r="D711">
        <v>1</v>
      </c>
      <c r="E711">
        <v>1</v>
      </c>
      <c r="F711" t="s">
        <v>42</v>
      </c>
      <c r="G711" t="s">
        <v>17</v>
      </c>
      <c r="H711" t="s">
        <v>24</v>
      </c>
      <c r="I711" t="s">
        <v>14</v>
      </c>
      <c r="J711">
        <v>1</v>
      </c>
      <c r="K711" t="str">
        <f t="shared" si="11"/>
        <v>Affected</v>
      </c>
      <c r="L711" t="str" cm="1">
        <f t="array" ref="L711">_xlfn.IFS(B711&gt;60,"Older Adult(&gt;60)",B711&gt;35,"Middle-aged Adult(36-60)",B711&gt;18,"Young Adult(19-35)",B711&gt;12,"Adolescent(13-18)",B711&gt;0,"Child(&lt;13)")</f>
        <v>Middle-aged Adult(36-60)</v>
      </c>
    </row>
    <row r="712" spans="1:12">
      <c r="A712" t="s">
        <v>10</v>
      </c>
      <c r="B712">
        <v>13</v>
      </c>
      <c r="C712">
        <v>1</v>
      </c>
      <c r="D712">
        <v>1</v>
      </c>
      <c r="E712">
        <v>0</v>
      </c>
      <c r="F712" t="s">
        <v>31</v>
      </c>
      <c r="G712" t="s">
        <v>12</v>
      </c>
      <c r="H712" t="s">
        <v>19</v>
      </c>
      <c r="I712" t="s">
        <v>14</v>
      </c>
      <c r="J712">
        <v>1</v>
      </c>
      <c r="K712" t="str">
        <f t="shared" si="11"/>
        <v>Affected</v>
      </c>
      <c r="L712" t="str" cm="1">
        <f t="array" ref="L712">_xlfn.IFS(B712&gt;60,"Older Adult(&gt;60)",B712&gt;35,"Middle-aged Adult(36-60)",B712&gt;18,"Young Adult(19-35)",B712&gt;12,"Adolescent(13-18)",B712&gt;0,"Child(&lt;13)")</f>
        <v>Adolescent(13-18)</v>
      </c>
    </row>
    <row r="713" spans="1:12">
      <c r="A713" t="s">
        <v>15</v>
      </c>
      <c r="B713">
        <v>44</v>
      </c>
      <c r="C713">
        <v>1</v>
      </c>
      <c r="D713">
        <v>1</v>
      </c>
      <c r="E713">
        <v>0</v>
      </c>
      <c r="F713" t="s">
        <v>32</v>
      </c>
      <c r="G713" t="s">
        <v>17</v>
      </c>
      <c r="H713" t="s">
        <v>13</v>
      </c>
      <c r="I713" t="s">
        <v>14</v>
      </c>
      <c r="J713">
        <v>1</v>
      </c>
      <c r="K713" t="str">
        <f t="shared" si="11"/>
        <v>Affected</v>
      </c>
      <c r="L713" t="str" cm="1">
        <f t="array" ref="L713">_xlfn.IFS(B713&gt;60,"Older Adult(&gt;60)",B713&gt;35,"Middle-aged Adult(36-60)",B713&gt;18,"Young Adult(19-35)",B713&gt;12,"Adolescent(13-18)",B713&gt;0,"Child(&lt;13)")</f>
        <v>Middle-aged Adult(36-60)</v>
      </c>
    </row>
    <row r="714" spans="1:12">
      <c r="A714" t="s">
        <v>15</v>
      </c>
      <c r="B714">
        <v>19</v>
      </c>
      <c r="C714">
        <v>1</v>
      </c>
      <c r="D714">
        <v>1</v>
      </c>
      <c r="E714">
        <v>1</v>
      </c>
      <c r="F714" t="s">
        <v>27</v>
      </c>
      <c r="G714" t="s">
        <v>12</v>
      </c>
      <c r="H714" t="s">
        <v>19</v>
      </c>
      <c r="I714" t="s">
        <v>14</v>
      </c>
      <c r="J714">
        <v>1</v>
      </c>
      <c r="K714" t="str">
        <f t="shared" si="11"/>
        <v>Affected</v>
      </c>
      <c r="L714" t="str" cm="1">
        <f t="array" ref="L714">_xlfn.IFS(B714&gt;60,"Older Adult(&gt;60)",B714&gt;35,"Middle-aged Adult(36-60)",B714&gt;18,"Young Adult(19-35)",B714&gt;12,"Adolescent(13-18)",B714&gt;0,"Child(&lt;13)")</f>
        <v>Young Adult(19-35)</v>
      </c>
    </row>
    <row r="715" spans="1:12">
      <c r="A715" t="s">
        <v>10</v>
      </c>
      <c r="B715">
        <v>53</v>
      </c>
      <c r="C715">
        <v>1</v>
      </c>
      <c r="D715">
        <v>1</v>
      </c>
      <c r="E715">
        <v>1</v>
      </c>
      <c r="F715" t="s">
        <v>36</v>
      </c>
      <c r="G715" t="s">
        <v>17</v>
      </c>
      <c r="H715" t="s">
        <v>24</v>
      </c>
      <c r="I715" t="s">
        <v>14</v>
      </c>
      <c r="J715">
        <v>1</v>
      </c>
      <c r="K715" t="str">
        <f t="shared" si="11"/>
        <v>Affected</v>
      </c>
      <c r="L715" t="str" cm="1">
        <f t="array" ref="L715">_xlfn.IFS(B715&gt;60,"Older Adult(&gt;60)",B715&gt;35,"Middle-aged Adult(36-60)",B715&gt;18,"Young Adult(19-35)",B715&gt;12,"Adolescent(13-18)",B715&gt;0,"Child(&lt;13)")</f>
        <v>Middle-aged Adult(36-60)</v>
      </c>
    </row>
    <row r="716" spans="1:12">
      <c r="A716" t="s">
        <v>10</v>
      </c>
      <c r="B716">
        <v>12</v>
      </c>
      <c r="C716">
        <v>0</v>
      </c>
      <c r="D716">
        <v>0</v>
      </c>
      <c r="E716">
        <v>0</v>
      </c>
      <c r="F716" t="s">
        <v>49</v>
      </c>
      <c r="G716" t="s">
        <v>12</v>
      </c>
      <c r="H716" t="s">
        <v>13</v>
      </c>
      <c r="I716" t="s">
        <v>14</v>
      </c>
      <c r="J716">
        <v>0</v>
      </c>
      <c r="K716" t="str">
        <f t="shared" si="11"/>
        <v>Not Affected</v>
      </c>
      <c r="L716" t="str" cm="1">
        <f t="array" ref="L716">_xlfn.IFS(B716&gt;60,"Older Adult(&gt;60)",B716&gt;35,"Middle-aged Adult(36-60)",B716&gt;18,"Young Adult(19-35)",B716&gt;12,"Adolescent(13-18)",B716&gt;0,"Child(&lt;13)")</f>
        <v>Child(&lt;13)</v>
      </c>
    </row>
    <row r="717" spans="1:12">
      <c r="A717" t="s">
        <v>10</v>
      </c>
      <c r="B717">
        <v>14</v>
      </c>
      <c r="C717">
        <v>0</v>
      </c>
      <c r="D717">
        <v>0</v>
      </c>
      <c r="E717">
        <v>0</v>
      </c>
      <c r="F717" t="s">
        <v>46</v>
      </c>
      <c r="G717" t="s">
        <v>17</v>
      </c>
      <c r="H717" t="s">
        <v>24</v>
      </c>
      <c r="I717" t="s">
        <v>14</v>
      </c>
      <c r="J717">
        <v>0</v>
      </c>
      <c r="K717" t="str">
        <f t="shared" si="11"/>
        <v>Not Affected</v>
      </c>
      <c r="L717" t="str" cm="1">
        <f t="array" ref="L717">_xlfn.IFS(B717&gt;60,"Older Adult(&gt;60)",B717&gt;35,"Middle-aged Adult(36-60)",B717&gt;18,"Young Adult(19-35)",B717&gt;12,"Adolescent(13-18)",B717&gt;0,"Child(&lt;13)")</f>
        <v>Adolescent(13-18)</v>
      </c>
    </row>
    <row r="718" spans="1:12">
      <c r="A718" t="s">
        <v>15</v>
      </c>
      <c r="B718">
        <v>30</v>
      </c>
      <c r="C718">
        <v>1</v>
      </c>
      <c r="D718">
        <v>1</v>
      </c>
      <c r="E718">
        <v>1</v>
      </c>
      <c r="F718" t="s">
        <v>29</v>
      </c>
      <c r="G718" t="s">
        <v>12</v>
      </c>
      <c r="H718" t="s">
        <v>13</v>
      </c>
      <c r="I718" t="s">
        <v>14</v>
      </c>
      <c r="J718">
        <v>1</v>
      </c>
      <c r="K718" t="str">
        <f t="shared" si="11"/>
        <v>Affected</v>
      </c>
      <c r="L718" t="str" cm="1">
        <f t="array" ref="L718">_xlfn.IFS(B718&gt;60,"Older Adult(&gt;60)",B718&gt;35,"Middle-aged Adult(36-60)",B718&gt;18,"Young Adult(19-35)",B718&gt;12,"Adolescent(13-18)",B718&gt;0,"Child(&lt;13)")</f>
        <v>Young Adult(19-35)</v>
      </c>
    </row>
    <row r="719" spans="1:12">
      <c r="A719" t="s">
        <v>10</v>
      </c>
      <c r="B719">
        <v>48</v>
      </c>
      <c r="C719">
        <v>0</v>
      </c>
      <c r="D719">
        <v>0</v>
      </c>
      <c r="E719">
        <v>1</v>
      </c>
      <c r="F719" t="s">
        <v>42</v>
      </c>
      <c r="G719" t="s">
        <v>17</v>
      </c>
      <c r="H719" t="s">
        <v>24</v>
      </c>
      <c r="I719" t="s">
        <v>14</v>
      </c>
      <c r="J719">
        <v>0</v>
      </c>
      <c r="K719" t="str">
        <f t="shared" si="11"/>
        <v>Not Affected</v>
      </c>
      <c r="L719" t="str" cm="1">
        <f t="array" ref="L719">_xlfn.IFS(B719&gt;60,"Older Adult(&gt;60)",B719&gt;35,"Middle-aged Adult(36-60)",B719&gt;18,"Young Adult(19-35)",B719&gt;12,"Adolescent(13-18)",B719&gt;0,"Child(&lt;13)")</f>
        <v>Middle-aged Adult(36-60)</v>
      </c>
    </row>
    <row r="720" spans="1:12">
      <c r="A720" t="s">
        <v>15</v>
      </c>
      <c r="B720">
        <v>31</v>
      </c>
      <c r="C720">
        <v>0</v>
      </c>
      <c r="D720">
        <v>0</v>
      </c>
      <c r="E720">
        <v>0</v>
      </c>
      <c r="F720" t="s">
        <v>42</v>
      </c>
      <c r="G720" t="s">
        <v>12</v>
      </c>
      <c r="H720" t="s">
        <v>13</v>
      </c>
      <c r="I720" t="s">
        <v>14</v>
      </c>
      <c r="J720">
        <v>0</v>
      </c>
      <c r="K720" t="str">
        <f t="shared" si="11"/>
        <v>Not Affected</v>
      </c>
      <c r="L720" t="str" cm="1">
        <f t="array" ref="L720">_xlfn.IFS(B720&gt;60,"Older Adult(&gt;60)",B720&gt;35,"Middle-aged Adult(36-60)",B720&gt;18,"Young Adult(19-35)",B720&gt;12,"Adolescent(13-18)",B720&gt;0,"Child(&lt;13)")</f>
        <v>Young Adult(19-35)</v>
      </c>
    </row>
    <row r="721" spans="1:12">
      <c r="A721" t="s">
        <v>15</v>
      </c>
      <c r="B721">
        <v>16</v>
      </c>
      <c r="C721">
        <v>1</v>
      </c>
      <c r="D721">
        <v>1</v>
      </c>
      <c r="E721">
        <v>0</v>
      </c>
      <c r="F721" t="s">
        <v>44</v>
      </c>
      <c r="G721" t="s">
        <v>17</v>
      </c>
      <c r="H721" t="s">
        <v>13</v>
      </c>
      <c r="I721" t="s">
        <v>14</v>
      </c>
      <c r="J721">
        <v>1</v>
      </c>
      <c r="K721" t="str">
        <f t="shared" si="11"/>
        <v>Affected</v>
      </c>
      <c r="L721" t="str" cm="1">
        <f t="array" ref="L721">_xlfn.IFS(B721&gt;60,"Older Adult(&gt;60)",B721&gt;35,"Middle-aged Adult(36-60)",B721&gt;18,"Young Adult(19-35)",B721&gt;12,"Adolescent(13-18)",B721&gt;0,"Child(&lt;13)")</f>
        <v>Adolescent(13-18)</v>
      </c>
    </row>
    <row r="722" spans="1:12">
      <c r="A722" t="s">
        <v>15</v>
      </c>
      <c r="B722">
        <v>38</v>
      </c>
      <c r="C722">
        <v>1</v>
      </c>
      <c r="D722">
        <v>1</v>
      </c>
      <c r="E722">
        <v>1</v>
      </c>
      <c r="F722" t="s">
        <v>22</v>
      </c>
      <c r="G722" t="s">
        <v>12</v>
      </c>
      <c r="H722" t="s">
        <v>24</v>
      </c>
      <c r="I722" t="s">
        <v>14</v>
      </c>
      <c r="J722">
        <v>1</v>
      </c>
      <c r="K722" t="str">
        <f t="shared" si="11"/>
        <v>Affected</v>
      </c>
      <c r="L722" t="str" cm="1">
        <f t="array" ref="L722">_xlfn.IFS(B722&gt;60,"Older Adult(&gt;60)",B722&gt;35,"Middle-aged Adult(36-60)",B722&gt;18,"Young Adult(19-35)",B722&gt;12,"Adolescent(13-18)",B722&gt;0,"Child(&lt;13)")</f>
        <v>Middle-aged Adult(36-60)</v>
      </c>
    </row>
    <row r="723" spans="1:12">
      <c r="A723" t="s">
        <v>10</v>
      </c>
      <c r="B723">
        <v>24</v>
      </c>
      <c r="C723">
        <v>1</v>
      </c>
      <c r="D723">
        <v>1</v>
      </c>
      <c r="E723">
        <v>1</v>
      </c>
      <c r="F723" t="s">
        <v>41</v>
      </c>
      <c r="G723" t="s">
        <v>17</v>
      </c>
      <c r="H723" t="s">
        <v>19</v>
      </c>
      <c r="I723" t="s">
        <v>14</v>
      </c>
      <c r="J723">
        <v>1</v>
      </c>
      <c r="K723" t="str">
        <f t="shared" si="11"/>
        <v>Affected</v>
      </c>
      <c r="L723" t="str" cm="1">
        <f t="array" ref="L723">_xlfn.IFS(B723&gt;60,"Older Adult(&gt;60)",B723&gt;35,"Middle-aged Adult(36-60)",B723&gt;18,"Young Adult(19-35)",B723&gt;12,"Adolescent(13-18)",B723&gt;0,"Child(&lt;13)")</f>
        <v>Young Adult(19-35)</v>
      </c>
    </row>
    <row r="724" spans="1:12">
      <c r="A724" t="s">
        <v>10</v>
      </c>
      <c r="B724">
        <v>28</v>
      </c>
      <c r="C724">
        <v>0</v>
      </c>
      <c r="D724">
        <v>0</v>
      </c>
      <c r="E724">
        <v>1</v>
      </c>
      <c r="F724" t="s">
        <v>26</v>
      </c>
      <c r="G724" t="s">
        <v>12</v>
      </c>
      <c r="H724" t="s">
        <v>24</v>
      </c>
      <c r="I724" t="s">
        <v>14</v>
      </c>
      <c r="J724">
        <v>0</v>
      </c>
      <c r="K724" t="str">
        <f t="shared" si="11"/>
        <v>Not Affected</v>
      </c>
      <c r="L724" t="str" cm="1">
        <f t="array" ref="L724">_xlfn.IFS(B724&gt;60,"Older Adult(&gt;60)",B724&gt;35,"Middle-aged Adult(36-60)",B724&gt;18,"Young Adult(19-35)",B724&gt;12,"Adolescent(13-18)",B724&gt;0,"Child(&lt;13)")</f>
        <v>Young Adult(19-35)</v>
      </c>
    </row>
    <row r="725" spans="1:12">
      <c r="A725" t="s">
        <v>10</v>
      </c>
      <c r="B725">
        <v>52</v>
      </c>
      <c r="C725">
        <v>1</v>
      </c>
      <c r="D725">
        <v>1</v>
      </c>
      <c r="E725">
        <v>0</v>
      </c>
      <c r="F725" t="s">
        <v>50</v>
      </c>
      <c r="G725" t="s">
        <v>17</v>
      </c>
      <c r="H725" t="s">
        <v>24</v>
      </c>
      <c r="I725" t="s">
        <v>14</v>
      </c>
      <c r="J725">
        <v>1</v>
      </c>
      <c r="K725" t="str">
        <f t="shared" si="11"/>
        <v>Affected</v>
      </c>
      <c r="L725" t="str" cm="1">
        <f t="array" ref="L725">_xlfn.IFS(B725&gt;60,"Older Adult(&gt;60)",B725&gt;35,"Middle-aged Adult(36-60)",B725&gt;18,"Young Adult(19-35)",B725&gt;12,"Adolescent(13-18)",B725&gt;0,"Child(&lt;13)")</f>
        <v>Middle-aged Adult(36-60)</v>
      </c>
    </row>
    <row r="726" spans="1:12">
      <c r="A726" t="s">
        <v>15</v>
      </c>
      <c r="B726">
        <v>8</v>
      </c>
      <c r="C726">
        <v>1</v>
      </c>
      <c r="D726">
        <v>1</v>
      </c>
      <c r="E726">
        <v>0</v>
      </c>
      <c r="F726" t="s">
        <v>32</v>
      </c>
      <c r="G726" t="s">
        <v>12</v>
      </c>
      <c r="H726" t="s">
        <v>13</v>
      </c>
      <c r="I726" t="s">
        <v>14</v>
      </c>
      <c r="J726">
        <v>1</v>
      </c>
      <c r="K726" t="str">
        <f t="shared" si="11"/>
        <v>Affected</v>
      </c>
      <c r="L726" t="str" cm="1">
        <f t="array" ref="L726">_xlfn.IFS(B726&gt;60,"Older Adult(&gt;60)",B726&gt;35,"Middle-aged Adult(36-60)",B726&gt;18,"Young Adult(19-35)",B726&gt;12,"Adolescent(13-18)",B726&gt;0,"Child(&lt;13)")</f>
        <v>Child(&lt;13)</v>
      </c>
    </row>
    <row r="727" spans="1:12">
      <c r="A727" t="s">
        <v>10</v>
      </c>
      <c r="B727">
        <v>54</v>
      </c>
      <c r="C727">
        <v>0</v>
      </c>
      <c r="D727">
        <v>0</v>
      </c>
      <c r="E727">
        <v>0</v>
      </c>
      <c r="F727" t="s">
        <v>11</v>
      </c>
      <c r="G727" t="s">
        <v>17</v>
      </c>
      <c r="H727" t="s">
        <v>13</v>
      </c>
      <c r="I727" t="s">
        <v>14</v>
      </c>
      <c r="J727">
        <v>0</v>
      </c>
      <c r="K727" t="str">
        <f t="shared" si="11"/>
        <v>Not Affected</v>
      </c>
      <c r="L727" t="str" cm="1">
        <f t="array" ref="L727">_xlfn.IFS(B727&gt;60,"Older Adult(&gt;60)",B727&gt;35,"Middle-aged Adult(36-60)",B727&gt;18,"Young Adult(19-35)",B727&gt;12,"Adolescent(13-18)",B727&gt;0,"Child(&lt;13)")</f>
        <v>Middle-aged Adult(36-60)</v>
      </c>
    </row>
    <row r="728" spans="1:12">
      <c r="A728" t="s">
        <v>10</v>
      </c>
      <c r="B728">
        <v>9</v>
      </c>
      <c r="C728">
        <v>1</v>
      </c>
      <c r="D728">
        <v>1</v>
      </c>
      <c r="E728">
        <v>1</v>
      </c>
      <c r="F728" t="s">
        <v>31</v>
      </c>
      <c r="G728" t="s">
        <v>12</v>
      </c>
      <c r="H728" t="s">
        <v>13</v>
      </c>
      <c r="I728" t="s">
        <v>14</v>
      </c>
      <c r="J728">
        <v>1</v>
      </c>
      <c r="K728" t="str">
        <f t="shared" si="11"/>
        <v>Affected</v>
      </c>
      <c r="L728" t="str" cm="1">
        <f t="array" ref="L728">_xlfn.IFS(B728&gt;60,"Older Adult(&gt;60)",B728&gt;35,"Middle-aged Adult(36-60)",B728&gt;18,"Young Adult(19-35)",B728&gt;12,"Adolescent(13-18)",B728&gt;0,"Child(&lt;13)")</f>
        <v>Child(&lt;13)</v>
      </c>
    </row>
    <row r="729" spans="1:12">
      <c r="A729" t="s">
        <v>10</v>
      </c>
      <c r="B729">
        <v>14</v>
      </c>
      <c r="C729">
        <v>1</v>
      </c>
      <c r="D729">
        <v>1</v>
      </c>
      <c r="E729">
        <v>0</v>
      </c>
      <c r="F729" t="s">
        <v>33</v>
      </c>
      <c r="G729" t="s">
        <v>17</v>
      </c>
      <c r="H729" t="s">
        <v>19</v>
      </c>
      <c r="I729" t="s">
        <v>14</v>
      </c>
      <c r="J729">
        <v>1</v>
      </c>
      <c r="K729" t="str">
        <f t="shared" si="11"/>
        <v>Affected</v>
      </c>
      <c r="L729" t="str" cm="1">
        <f t="array" ref="L729">_xlfn.IFS(B729&gt;60,"Older Adult(&gt;60)",B729&gt;35,"Middle-aged Adult(36-60)",B729&gt;18,"Young Adult(19-35)",B729&gt;12,"Adolescent(13-18)",B729&gt;0,"Child(&lt;13)")</f>
        <v>Adolescent(13-18)</v>
      </c>
    </row>
    <row r="730" spans="1:12">
      <c r="A730" t="s">
        <v>10</v>
      </c>
      <c r="B730">
        <v>12</v>
      </c>
      <c r="C730">
        <v>1</v>
      </c>
      <c r="D730">
        <v>1</v>
      </c>
      <c r="E730">
        <v>0</v>
      </c>
      <c r="F730" t="s">
        <v>16</v>
      </c>
      <c r="G730" t="s">
        <v>12</v>
      </c>
      <c r="H730" t="s">
        <v>19</v>
      </c>
      <c r="I730" t="s">
        <v>14</v>
      </c>
      <c r="J730">
        <v>1</v>
      </c>
      <c r="K730" t="str">
        <f t="shared" si="11"/>
        <v>Affected</v>
      </c>
      <c r="L730" t="str" cm="1">
        <f t="array" ref="L730">_xlfn.IFS(B730&gt;60,"Older Adult(&gt;60)",B730&gt;35,"Middle-aged Adult(36-60)",B730&gt;18,"Young Adult(19-35)",B730&gt;12,"Adolescent(13-18)",B730&gt;0,"Child(&lt;13)")</f>
        <v>Child(&lt;13)</v>
      </c>
    </row>
    <row r="731" spans="1:12">
      <c r="A731" t="s">
        <v>10</v>
      </c>
      <c r="B731">
        <v>49</v>
      </c>
      <c r="C731">
        <v>0</v>
      </c>
      <c r="D731">
        <v>0</v>
      </c>
      <c r="E731">
        <v>1</v>
      </c>
      <c r="F731" t="s">
        <v>48</v>
      </c>
      <c r="G731" t="s">
        <v>17</v>
      </c>
      <c r="H731" t="s">
        <v>19</v>
      </c>
      <c r="I731" t="s">
        <v>14</v>
      </c>
      <c r="J731">
        <v>0</v>
      </c>
      <c r="K731" t="str">
        <f t="shared" si="11"/>
        <v>Not Affected</v>
      </c>
      <c r="L731" t="str" cm="1">
        <f t="array" ref="L731">_xlfn.IFS(B731&gt;60,"Older Adult(&gt;60)",B731&gt;35,"Middle-aged Adult(36-60)",B731&gt;18,"Young Adult(19-35)",B731&gt;12,"Adolescent(13-18)",B731&gt;0,"Child(&lt;13)")</f>
        <v>Middle-aged Adult(36-60)</v>
      </c>
    </row>
    <row r="732" spans="1:12">
      <c r="A732" t="s">
        <v>15</v>
      </c>
      <c r="B732">
        <v>46</v>
      </c>
      <c r="C732">
        <v>0</v>
      </c>
      <c r="D732">
        <v>0</v>
      </c>
      <c r="E732">
        <v>0</v>
      </c>
      <c r="F732" t="s">
        <v>33</v>
      </c>
      <c r="G732" t="s">
        <v>12</v>
      </c>
      <c r="H732" t="s">
        <v>19</v>
      </c>
      <c r="I732" t="s">
        <v>14</v>
      </c>
      <c r="J732">
        <v>0</v>
      </c>
      <c r="K732" t="str">
        <f t="shared" si="11"/>
        <v>Not Affected</v>
      </c>
      <c r="L732" t="str" cm="1">
        <f t="array" ref="L732">_xlfn.IFS(B732&gt;60,"Older Adult(&gt;60)",B732&gt;35,"Middle-aged Adult(36-60)",B732&gt;18,"Young Adult(19-35)",B732&gt;12,"Adolescent(13-18)",B732&gt;0,"Child(&lt;13)")</f>
        <v>Middle-aged Adult(36-60)</v>
      </c>
    </row>
    <row r="733" spans="1:12">
      <c r="A733" t="s">
        <v>15</v>
      </c>
      <c r="B733">
        <v>35</v>
      </c>
      <c r="C733">
        <v>0</v>
      </c>
      <c r="D733">
        <v>0</v>
      </c>
      <c r="E733">
        <v>1</v>
      </c>
      <c r="F733" t="s">
        <v>44</v>
      </c>
      <c r="G733" t="s">
        <v>17</v>
      </c>
      <c r="H733" t="s">
        <v>13</v>
      </c>
      <c r="I733" t="s">
        <v>14</v>
      </c>
      <c r="J733">
        <v>0</v>
      </c>
      <c r="K733" t="str">
        <f t="shared" si="11"/>
        <v>Not Affected</v>
      </c>
      <c r="L733" t="str" cm="1">
        <f t="array" ref="L733">_xlfn.IFS(B733&gt;60,"Older Adult(&gt;60)",B733&gt;35,"Middle-aged Adult(36-60)",B733&gt;18,"Young Adult(19-35)",B733&gt;12,"Adolescent(13-18)",B733&gt;0,"Child(&lt;13)")</f>
        <v>Young Adult(19-35)</v>
      </c>
    </row>
    <row r="734" spans="1:12">
      <c r="A734" t="s">
        <v>10</v>
      </c>
      <c r="B734">
        <v>45</v>
      </c>
      <c r="C734">
        <v>1</v>
      </c>
      <c r="D734">
        <v>1</v>
      </c>
      <c r="E734">
        <v>0</v>
      </c>
      <c r="F734" t="s">
        <v>23</v>
      </c>
      <c r="G734" t="s">
        <v>12</v>
      </c>
      <c r="H734" t="s">
        <v>13</v>
      </c>
      <c r="I734" t="s">
        <v>14</v>
      </c>
      <c r="J734">
        <v>1</v>
      </c>
      <c r="K734" t="str">
        <f t="shared" si="11"/>
        <v>Affected</v>
      </c>
      <c r="L734" t="str" cm="1">
        <f t="array" ref="L734">_xlfn.IFS(B734&gt;60,"Older Adult(&gt;60)",B734&gt;35,"Middle-aged Adult(36-60)",B734&gt;18,"Young Adult(19-35)",B734&gt;12,"Adolescent(13-18)",B734&gt;0,"Child(&lt;13)")</f>
        <v>Middle-aged Adult(36-60)</v>
      </c>
    </row>
    <row r="735" spans="1:12">
      <c r="A735" t="s">
        <v>15</v>
      </c>
      <c r="B735">
        <v>48</v>
      </c>
      <c r="C735">
        <v>0</v>
      </c>
      <c r="D735">
        <v>0</v>
      </c>
      <c r="E735">
        <v>0</v>
      </c>
      <c r="F735" t="s">
        <v>52</v>
      </c>
      <c r="G735" t="s">
        <v>17</v>
      </c>
      <c r="H735" t="s">
        <v>19</v>
      </c>
      <c r="I735" t="s">
        <v>14</v>
      </c>
      <c r="J735">
        <v>0</v>
      </c>
      <c r="K735" t="str">
        <f t="shared" si="11"/>
        <v>Not Affected</v>
      </c>
      <c r="L735" t="str" cm="1">
        <f t="array" ref="L735">_xlfn.IFS(B735&gt;60,"Older Adult(&gt;60)",B735&gt;35,"Middle-aged Adult(36-60)",B735&gt;18,"Young Adult(19-35)",B735&gt;12,"Adolescent(13-18)",B735&gt;0,"Child(&lt;13)")</f>
        <v>Middle-aged Adult(36-60)</v>
      </c>
    </row>
    <row r="736" spans="1:12">
      <c r="A736" t="s">
        <v>15</v>
      </c>
      <c r="B736">
        <v>50</v>
      </c>
      <c r="C736">
        <v>0</v>
      </c>
      <c r="D736">
        <v>0</v>
      </c>
      <c r="E736">
        <v>0</v>
      </c>
      <c r="F736" t="s">
        <v>38</v>
      </c>
      <c r="G736" t="s">
        <v>12</v>
      </c>
      <c r="H736" t="s">
        <v>19</v>
      </c>
      <c r="I736" t="s">
        <v>14</v>
      </c>
      <c r="J736">
        <v>0</v>
      </c>
      <c r="K736" t="str">
        <f t="shared" si="11"/>
        <v>Not Affected</v>
      </c>
      <c r="L736" t="str" cm="1">
        <f t="array" ref="L736">_xlfn.IFS(B736&gt;60,"Older Adult(&gt;60)",B736&gt;35,"Middle-aged Adult(36-60)",B736&gt;18,"Young Adult(19-35)",B736&gt;12,"Adolescent(13-18)",B736&gt;0,"Child(&lt;13)")</f>
        <v>Middle-aged Adult(36-60)</v>
      </c>
    </row>
    <row r="737" spans="1:12">
      <c r="A737" t="s">
        <v>15</v>
      </c>
      <c r="B737">
        <v>37</v>
      </c>
      <c r="C737">
        <v>0</v>
      </c>
      <c r="D737">
        <v>0</v>
      </c>
      <c r="E737">
        <v>0</v>
      </c>
      <c r="F737" t="s">
        <v>25</v>
      </c>
      <c r="G737" t="s">
        <v>17</v>
      </c>
      <c r="H737" t="s">
        <v>13</v>
      </c>
      <c r="I737" t="s">
        <v>14</v>
      </c>
      <c r="J737">
        <v>0</v>
      </c>
      <c r="K737" t="str">
        <f t="shared" si="11"/>
        <v>Not Affected</v>
      </c>
      <c r="L737" t="str" cm="1">
        <f t="array" ref="L737">_xlfn.IFS(B737&gt;60,"Older Adult(&gt;60)",B737&gt;35,"Middle-aged Adult(36-60)",B737&gt;18,"Young Adult(19-35)",B737&gt;12,"Adolescent(13-18)",B737&gt;0,"Child(&lt;13)")</f>
        <v>Middle-aged Adult(36-60)</v>
      </c>
    </row>
    <row r="738" spans="1:12">
      <c r="A738" t="s">
        <v>10</v>
      </c>
      <c r="B738">
        <v>39</v>
      </c>
      <c r="C738">
        <v>0</v>
      </c>
      <c r="D738">
        <v>0</v>
      </c>
      <c r="E738">
        <v>1</v>
      </c>
      <c r="F738" t="s">
        <v>40</v>
      </c>
      <c r="G738" t="s">
        <v>12</v>
      </c>
      <c r="H738" t="s">
        <v>13</v>
      </c>
      <c r="I738" t="s">
        <v>14</v>
      </c>
      <c r="J738">
        <v>0</v>
      </c>
      <c r="K738" t="str">
        <f t="shared" si="11"/>
        <v>Not Affected</v>
      </c>
      <c r="L738" t="str" cm="1">
        <f t="array" ref="L738">_xlfn.IFS(B738&gt;60,"Older Adult(&gt;60)",B738&gt;35,"Middle-aged Adult(36-60)",B738&gt;18,"Young Adult(19-35)",B738&gt;12,"Adolescent(13-18)",B738&gt;0,"Child(&lt;13)")</f>
        <v>Middle-aged Adult(36-60)</v>
      </c>
    </row>
    <row r="739" spans="1:12">
      <c r="A739" t="s">
        <v>15</v>
      </c>
      <c r="B739">
        <v>56</v>
      </c>
      <c r="C739">
        <v>1</v>
      </c>
      <c r="D739">
        <v>1</v>
      </c>
      <c r="E739">
        <v>0</v>
      </c>
      <c r="F739" t="s">
        <v>31</v>
      </c>
      <c r="G739" t="s">
        <v>17</v>
      </c>
      <c r="H739" t="s">
        <v>13</v>
      </c>
      <c r="I739" t="s">
        <v>14</v>
      </c>
      <c r="J739">
        <v>1</v>
      </c>
      <c r="K739" t="str">
        <f t="shared" si="11"/>
        <v>Affected</v>
      </c>
      <c r="L739" t="str" cm="1">
        <f t="array" ref="L739">_xlfn.IFS(B739&gt;60,"Older Adult(&gt;60)",B739&gt;35,"Middle-aged Adult(36-60)",B739&gt;18,"Young Adult(19-35)",B739&gt;12,"Adolescent(13-18)",B739&gt;0,"Child(&lt;13)")</f>
        <v>Middle-aged Adult(36-60)</v>
      </c>
    </row>
    <row r="740" spans="1:12">
      <c r="A740" t="s">
        <v>10</v>
      </c>
      <c r="B740">
        <v>11</v>
      </c>
      <c r="C740">
        <v>0</v>
      </c>
      <c r="D740">
        <v>0</v>
      </c>
      <c r="E740">
        <v>1</v>
      </c>
      <c r="F740" t="s">
        <v>16</v>
      </c>
      <c r="G740" t="s">
        <v>12</v>
      </c>
      <c r="H740" t="s">
        <v>24</v>
      </c>
      <c r="I740" t="s">
        <v>14</v>
      </c>
      <c r="J740">
        <v>0</v>
      </c>
      <c r="K740" t="str">
        <f t="shared" si="11"/>
        <v>Not Affected</v>
      </c>
      <c r="L740" t="str" cm="1">
        <f t="array" ref="L740">_xlfn.IFS(B740&gt;60,"Older Adult(&gt;60)",B740&gt;35,"Middle-aged Adult(36-60)",B740&gt;18,"Young Adult(19-35)",B740&gt;12,"Adolescent(13-18)",B740&gt;0,"Child(&lt;13)")</f>
        <v>Child(&lt;13)</v>
      </c>
    </row>
    <row r="741" spans="1:12">
      <c r="A741" t="s">
        <v>15</v>
      </c>
      <c r="B741">
        <v>46</v>
      </c>
      <c r="C741">
        <v>1</v>
      </c>
      <c r="D741">
        <v>1</v>
      </c>
      <c r="E741">
        <v>0</v>
      </c>
      <c r="F741" t="s">
        <v>48</v>
      </c>
      <c r="G741" t="s">
        <v>17</v>
      </c>
      <c r="H741" t="s">
        <v>13</v>
      </c>
      <c r="I741" t="s">
        <v>14</v>
      </c>
      <c r="J741">
        <v>1</v>
      </c>
      <c r="K741" t="str">
        <f t="shared" si="11"/>
        <v>Affected</v>
      </c>
      <c r="L741" t="str" cm="1">
        <f t="array" ref="L741">_xlfn.IFS(B741&gt;60,"Older Adult(&gt;60)",B741&gt;35,"Middle-aged Adult(36-60)",B741&gt;18,"Young Adult(19-35)",B741&gt;12,"Adolescent(13-18)",B741&gt;0,"Child(&lt;13)")</f>
        <v>Middle-aged Adult(36-60)</v>
      </c>
    </row>
    <row r="742" spans="1:12">
      <c r="A742" t="s">
        <v>10</v>
      </c>
      <c r="B742">
        <v>32</v>
      </c>
      <c r="C742">
        <v>0</v>
      </c>
      <c r="D742">
        <v>0</v>
      </c>
      <c r="E742">
        <v>1</v>
      </c>
      <c r="F742" t="s">
        <v>29</v>
      </c>
      <c r="G742" t="s">
        <v>12</v>
      </c>
      <c r="H742" t="s">
        <v>24</v>
      </c>
      <c r="I742" t="s">
        <v>14</v>
      </c>
      <c r="J742">
        <v>0</v>
      </c>
      <c r="K742" t="str">
        <f t="shared" si="11"/>
        <v>Not Affected</v>
      </c>
      <c r="L742" t="str" cm="1">
        <f t="array" ref="L742">_xlfn.IFS(B742&gt;60,"Older Adult(&gt;60)",B742&gt;35,"Middle-aged Adult(36-60)",B742&gt;18,"Young Adult(19-35)",B742&gt;12,"Adolescent(13-18)",B742&gt;0,"Child(&lt;13)")</f>
        <v>Young Adult(19-35)</v>
      </c>
    </row>
    <row r="743" spans="1:12">
      <c r="A743" t="s">
        <v>15</v>
      </c>
      <c r="B743">
        <v>65</v>
      </c>
      <c r="C743">
        <v>0</v>
      </c>
      <c r="D743">
        <v>0</v>
      </c>
      <c r="E743">
        <v>0</v>
      </c>
      <c r="F743" t="s">
        <v>53</v>
      </c>
      <c r="G743" t="s">
        <v>17</v>
      </c>
      <c r="H743" t="s">
        <v>24</v>
      </c>
      <c r="I743" t="s">
        <v>14</v>
      </c>
      <c r="J743">
        <v>0</v>
      </c>
      <c r="K743" t="str">
        <f t="shared" si="11"/>
        <v>Not Affected</v>
      </c>
      <c r="L743" t="str" cm="1">
        <f t="array" ref="L743">_xlfn.IFS(B743&gt;60,"Older Adult(&gt;60)",B743&gt;35,"Middle-aged Adult(36-60)",B743&gt;18,"Young Adult(19-35)",B743&gt;12,"Adolescent(13-18)",B743&gt;0,"Child(&lt;13)")</f>
        <v>Older Adult(&gt;60)</v>
      </c>
    </row>
    <row r="744" spans="1:12">
      <c r="A744" t="s">
        <v>15</v>
      </c>
      <c r="B744">
        <v>55</v>
      </c>
      <c r="C744">
        <v>1</v>
      </c>
      <c r="D744">
        <v>1</v>
      </c>
      <c r="E744">
        <v>1</v>
      </c>
      <c r="F744" t="s">
        <v>39</v>
      </c>
      <c r="G744" t="s">
        <v>12</v>
      </c>
      <c r="H744" t="s">
        <v>19</v>
      </c>
      <c r="I744" t="s">
        <v>14</v>
      </c>
      <c r="J744">
        <v>1</v>
      </c>
      <c r="K744" t="str">
        <f t="shared" si="11"/>
        <v>Affected</v>
      </c>
      <c r="L744" t="str" cm="1">
        <f t="array" ref="L744">_xlfn.IFS(B744&gt;60,"Older Adult(&gt;60)",B744&gt;35,"Middle-aged Adult(36-60)",B744&gt;18,"Young Adult(19-35)",B744&gt;12,"Adolescent(13-18)",B744&gt;0,"Child(&lt;13)")</f>
        <v>Middle-aged Adult(36-60)</v>
      </c>
    </row>
    <row r="745" spans="1:12">
      <c r="A745" t="s">
        <v>15</v>
      </c>
      <c r="B745">
        <v>34</v>
      </c>
      <c r="C745">
        <v>0</v>
      </c>
      <c r="D745">
        <v>0</v>
      </c>
      <c r="E745">
        <v>1</v>
      </c>
      <c r="F745" t="s">
        <v>42</v>
      </c>
      <c r="G745" t="s">
        <v>17</v>
      </c>
      <c r="H745" t="s">
        <v>19</v>
      </c>
      <c r="I745" t="s">
        <v>14</v>
      </c>
      <c r="J745">
        <v>0</v>
      </c>
      <c r="K745" t="str">
        <f t="shared" si="11"/>
        <v>Not Affected</v>
      </c>
      <c r="L745" t="str" cm="1">
        <f t="array" ref="L745">_xlfn.IFS(B745&gt;60,"Older Adult(&gt;60)",B745&gt;35,"Middle-aged Adult(36-60)",B745&gt;18,"Young Adult(19-35)",B745&gt;12,"Adolescent(13-18)",B745&gt;0,"Child(&lt;13)")</f>
        <v>Young Adult(19-35)</v>
      </c>
    </row>
    <row r="746" spans="1:12">
      <c r="A746" t="s">
        <v>15</v>
      </c>
      <c r="B746">
        <v>21</v>
      </c>
      <c r="C746">
        <v>0</v>
      </c>
      <c r="D746">
        <v>0</v>
      </c>
      <c r="E746">
        <v>0</v>
      </c>
      <c r="F746" t="s">
        <v>41</v>
      </c>
      <c r="G746" t="s">
        <v>12</v>
      </c>
      <c r="H746" t="s">
        <v>24</v>
      </c>
      <c r="I746" t="s">
        <v>14</v>
      </c>
      <c r="J746">
        <v>0</v>
      </c>
      <c r="K746" t="str">
        <f t="shared" si="11"/>
        <v>Not Affected</v>
      </c>
      <c r="L746" t="str" cm="1">
        <f t="array" ref="L746">_xlfn.IFS(B746&gt;60,"Older Adult(&gt;60)",B746&gt;35,"Middle-aged Adult(36-60)",B746&gt;18,"Young Adult(19-35)",B746&gt;12,"Adolescent(13-18)",B746&gt;0,"Child(&lt;13)")</f>
        <v>Young Adult(19-35)</v>
      </c>
    </row>
    <row r="747" spans="1:12">
      <c r="A747" t="s">
        <v>10</v>
      </c>
      <c r="B747">
        <v>11</v>
      </c>
      <c r="C747">
        <v>0</v>
      </c>
      <c r="D747">
        <v>0</v>
      </c>
      <c r="E747">
        <v>0</v>
      </c>
      <c r="F747" t="s">
        <v>23</v>
      </c>
      <c r="G747" t="s">
        <v>17</v>
      </c>
      <c r="H747" t="s">
        <v>19</v>
      </c>
      <c r="I747" t="s">
        <v>14</v>
      </c>
      <c r="J747">
        <v>0</v>
      </c>
      <c r="K747" t="str">
        <f t="shared" si="11"/>
        <v>Not Affected</v>
      </c>
      <c r="L747" t="str" cm="1">
        <f t="array" ref="L747">_xlfn.IFS(B747&gt;60,"Older Adult(&gt;60)",B747&gt;35,"Middle-aged Adult(36-60)",B747&gt;18,"Young Adult(19-35)",B747&gt;12,"Adolescent(13-18)",B747&gt;0,"Child(&lt;13)")</f>
        <v>Child(&lt;13)</v>
      </c>
    </row>
    <row r="748" spans="1:12">
      <c r="A748" t="s">
        <v>15</v>
      </c>
      <c r="B748">
        <v>46</v>
      </c>
      <c r="C748">
        <v>0</v>
      </c>
      <c r="D748">
        <v>0</v>
      </c>
      <c r="E748">
        <v>0</v>
      </c>
      <c r="F748" t="s">
        <v>28</v>
      </c>
      <c r="G748" t="s">
        <v>12</v>
      </c>
      <c r="H748" t="s">
        <v>13</v>
      </c>
      <c r="I748" t="s">
        <v>14</v>
      </c>
      <c r="J748">
        <v>0</v>
      </c>
      <c r="K748" t="str">
        <f t="shared" si="11"/>
        <v>Not Affected</v>
      </c>
      <c r="L748" t="str" cm="1">
        <f t="array" ref="L748">_xlfn.IFS(B748&gt;60,"Older Adult(&gt;60)",B748&gt;35,"Middle-aged Adult(36-60)",B748&gt;18,"Young Adult(19-35)",B748&gt;12,"Adolescent(13-18)",B748&gt;0,"Child(&lt;13)")</f>
        <v>Middle-aged Adult(36-60)</v>
      </c>
    </row>
    <row r="749" spans="1:12">
      <c r="A749" t="s">
        <v>15</v>
      </c>
      <c r="B749">
        <v>21</v>
      </c>
      <c r="C749">
        <v>1</v>
      </c>
      <c r="D749">
        <v>1</v>
      </c>
      <c r="E749">
        <v>0</v>
      </c>
      <c r="F749" t="s">
        <v>36</v>
      </c>
      <c r="G749" t="s">
        <v>17</v>
      </c>
      <c r="H749" t="s">
        <v>19</v>
      </c>
      <c r="I749" t="s">
        <v>14</v>
      </c>
      <c r="J749">
        <v>1</v>
      </c>
      <c r="K749" t="str">
        <f t="shared" si="11"/>
        <v>Affected</v>
      </c>
      <c r="L749" t="str" cm="1">
        <f t="array" ref="L749">_xlfn.IFS(B749&gt;60,"Older Adult(&gt;60)",B749&gt;35,"Middle-aged Adult(36-60)",B749&gt;18,"Young Adult(19-35)",B749&gt;12,"Adolescent(13-18)",B749&gt;0,"Child(&lt;13)")</f>
        <v>Young Adult(19-35)</v>
      </c>
    </row>
    <row r="750" spans="1:12">
      <c r="A750" t="s">
        <v>10</v>
      </c>
      <c r="B750">
        <v>61</v>
      </c>
      <c r="C750">
        <v>0</v>
      </c>
      <c r="D750">
        <v>0</v>
      </c>
      <c r="E750">
        <v>0</v>
      </c>
      <c r="F750" t="s">
        <v>22</v>
      </c>
      <c r="G750" t="s">
        <v>12</v>
      </c>
      <c r="H750" t="s">
        <v>24</v>
      </c>
      <c r="I750" t="s">
        <v>14</v>
      </c>
      <c r="J750">
        <v>0</v>
      </c>
      <c r="K750" t="str">
        <f t="shared" si="11"/>
        <v>Not Affected</v>
      </c>
      <c r="L750" t="str" cm="1">
        <f t="array" ref="L750">_xlfn.IFS(B750&gt;60,"Older Adult(&gt;60)",B750&gt;35,"Middle-aged Adult(36-60)",B750&gt;18,"Young Adult(19-35)",B750&gt;12,"Adolescent(13-18)",B750&gt;0,"Child(&lt;13)")</f>
        <v>Older Adult(&gt;60)</v>
      </c>
    </row>
    <row r="751" spans="1:12">
      <c r="A751" t="s">
        <v>15</v>
      </c>
      <c r="B751">
        <v>35</v>
      </c>
      <c r="C751">
        <v>1</v>
      </c>
      <c r="D751">
        <v>1</v>
      </c>
      <c r="E751">
        <v>1</v>
      </c>
      <c r="F751" t="s">
        <v>34</v>
      </c>
      <c r="G751" t="s">
        <v>17</v>
      </c>
      <c r="H751" t="s">
        <v>13</v>
      </c>
      <c r="I751" t="s">
        <v>14</v>
      </c>
      <c r="J751">
        <v>1</v>
      </c>
      <c r="K751" t="str">
        <f t="shared" si="11"/>
        <v>Affected</v>
      </c>
      <c r="L751" t="str" cm="1">
        <f t="array" ref="L751">_xlfn.IFS(B751&gt;60,"Older Adult(&gt;60)",B751&gt;35,"Middle-aged Adult(36-60)",B751&gt;18,"Young Adult(19-35)",B751&gt;12,"Adolescent(13-18)",B751&gt;0,"Child(&lt;13)")</f>
        <v>Young Adult(19-35)</v>
      </c>
    </row>
    <row r="752" spans="1:12">
      <c r="A752" t="s">
        <v>10</v>
      </c>
      <c r="B752">
        <v>46</v>
      </c>
      <c r="C752">
        <v>1</v>
      </c>
      <c r="D752">
        <v>1</v>
      </c>
      <c r="E752">
        <v>1</v>
      </c>
      <c r="F752" t="s">
        <v>49</v>
      </c>
      <c r="G752" t="s">
        <v>12</v>
      </c>
      <c r="H752" t="s">
        <v>24</v>
      </c>
      <c r="I752" t="s">
        <v>14</v>
      </c>
      <c r="J752">
        <v>1</v>
      </c>
      <c r="K752" t="str">
        <f t="shared" si="11"/>
        <v>Affected</v>
      </c>
      <c r="L752" t="str" cm="1">
        <f t="array" ref="L752">_xlfn.IFS(B752&gt;60,"Older Adult(&gt;60)",B752&gt;35,"Middle-aged Adult(36-60)",B752&gt;18,"Young Adult(19-35)",B752&gt;12,"Adolescent(13-18)",B752&gt;0,"Child(&lt;13)")</f>
        <v>Middle-aged Adult(36-60)</v>
      </c>
    </row>
    <row r="753" spans="1:12">
      <c r="A753" t="s">
        <v>10</v>
      </c>
      <c r="B753">
        <v>11</v>
      </c>
      <c r="C753">
        <v>0</v>
      </c>
      <c r="D753">
        <v>0</v>
      </c>
      <c r="E753">
        <v>0</v>
      </c>
      <c r="F753" t="s">
        <v>36</v>
      </c>
      <c r="G753" t="s">
        <v>17</v>
      </c>
      <c r="H753" t="s">
        <v>19</v>
      </c>
      <c r="I753" t="s">
        <v>14</v>
      </c>
      <c r="J753">
        <v>0</v>
      </c>
      <c r="K753" t="str">
        <f t="shared" si="11"/>
        <v>Not Affected</v>
      </c>
      <c r="L753" t="str" cm="1">
        <f t="array" ref="L753">_xlfn.IFS(B753&gt;60,"Older Adult(&gt;60)",B753&gt;35,"Middle-aged Adult(36-60)",B753&gt;18,"Young Adult(19-35)",B753&gt;12,"Adolescent(13-18)",B753&gt;0,"Child(&lt;13)")</f>
        <v>Child(&lt;13)</v>
      </c>
    </row>
    <row r="754" spans="1:12">
      <c r="A754" t="s">
        <v>15</v>
      </c>
      <c r="B754">
        <v>49</v>
      </c>
      <c r="C754">
        <v>1</v>
      </c>
      <c r="D754">
        <v>1</v>
      </c>
      <c r="E754">
        <v>0</v>
      </c>
      <c r="F754" t="s">
        <v>26</v>
      </c>
      <c r="G754" t="s">
        <v>12</v>
      </c>
      <c r="H754" t="s">
        <v>13</v>
      </c>
      <c r="I754" t="s">
        <v>14</v>
      </c>
      <c r="J754">
        <v>1</v>
      </c>
      <c r="K754" t="str">
        <f t="shared" si="11"/>
        <v>Affected</v>
      </c>
      <c r="L754" t="str" cm="1">
        <f t="array" ref="L754">_xlfn.IFS(B754&gt;60,"Older Adult(&gt;60)",B754&gt;35,"Middle-aged Adult(36-60)",B754&gt;18,"Young Adult(19-35)",B754&gt;12,"Adolescent(13-18)",B754&gt;0,"Child(&lt;13)")</f>
        <v>Middle-aged Adult(36-60)</v>
      </c>
    </row>
    <row r="755" spans="1:12">
      <c r="A755" t="s">
        <v>10</v>
      </c>
      <c r="B755">
        <v>43</v>
      </c>
      <c r="C755">
        <v>1</v>
      </c>
      <c r="D755">
        <v>1</v>
      </c>
      <c r="E755">
        <v>1</v>
      </c>
      <c r="F755" t="s">
        <v>22</v>
      </c>
      <c r="G755" t="s">
        <v>17</v>
      </c>
      <c r="H755" t="s">
        <v>19</v>
      </c>
      <c r="I755" t="s">
        <v>14</v>
      </c>
      <c r="J755">
        <v>1</v>
      </c>
      <c r="K755" t="str">
        <f t="shared" si="11"/>
        <v>Affected</v>
      </c>
      <c r="L755" t="str" cm="1">
        <f t="array" ref="L755">_xlfn.IFS(B755&gt;60,"Older Adult(&gt;60)",B755&gt;35,"Middle-aged Adult(36-60)",B755&gt;18,"Young Adult(19-35)",B755&gt;12,"Adolescent(13-18)",B755&gt;0,"Child(&lt;13)")</f>
        <v>Middle-aged Adult(36-60)</v>
      </c>
    </row>
    <row r="756" spans="1:12">
      <c r="A756" t="s">
        <v>10</v>
      </c>
      <c r="B756">
        <v>49</v>
      </c>
      <c r="C756">
        <v>1</v>
      </c>
      <c r="D756">
        <v>1</v>
      </c>
      <c r="E756">
        <v>0</v>
      </c>
      <c r="F756" t="s">
        <v>46</v>
      </c>
      <c r="G756" t="s">
        <v>12</v>
      </c>
      <c r="H756" t="s">
        <v>24</v>
      </c>
      <c r="I756" t="s">
        <v>14</v>
      </c>
      <c r="J756">
        <v>1</v>
      </c>
      <c r="K756" t="str">
        <f t="shared" si="11"/>
        <v>Affected</v>
      </c>
      <c r="L756" t="str" cm="1">
        <f t="array" ref="L756">_xlfn.IFS(B756&gt;60,"Older Adult(&gt;60)",B756&gt;35,"Middle-aged Adult(36-60)",B756&gt;18,"Young Adult(19-35)",B756&gt;12,"Adolescent(13-18)",B756&gt;0,"Child(&lt;13)")</f>
        <v>Middle-aged Adult(36-60)</v>
      </c>
    </row>
    <row r="757" spans="1:12">
      <c r="A757" t="s">
        <v>15</v>
      </c>
      <c r="B757">
        <v>46</v>
      </c>
      <c r="C757">
        <v>1</v>
      </c>
      <c r="D757">
        <v>1</v>
      </c>
      <c r="E757">
        <v>0</v>
      </c>
      <c r="F757" t="s">
        <v>44</v>
      </c>
      <c r="G757" t="s">
        <v>17</v>
      </c>
      <c r="H757" t="s">
        <v>24</v>
      </c>
      <c r="I757" t="s">
        <v>14</v>
      </c>
      <c r="J757">
        <v>1</v>
      </c>
      <c r="K757" t="str">
        <f t="shared" si="11"/>
        <v>Affected</v>
      </c>
      <c r="L757" t="str" cm="1">
        <f t="array" ref="L757">_xlfn.IFS(B757&gt;60,"Older Adult(&gt;60)",B757&gt;35,"Middle-aged Adult(36-60)",B757&gt;18,"Young Adult(19-35)",B757&gt;12,"Adolescent(13-18)",B757&gt;0,"Child(&lt;13)")</f>
        <v>Middle-aged Adult(36-60)</v>
      </c>
    </row>
    <row r="758" spans="1:12">
      <c r="A758" t="s">
        <v>10</v>
      </c>
      <c r="B758">
        <v>50</v>
      </c>
      <c r="C758">
        <v>0</v>
      </c>
      <c r="D758">
        <v>0</v>
      </c>
      <c r="E758">
        <v>1</v>
      </c>
      <c r="F758" t="s">
        <v>11</v>
      </c>
      <c r="G758" t="s">
        <v>12</v>
      </c>
      <c r="H758" t="s">
        <v>13</v>
      </c>
      <c r="I758" t="s">
        <v>14</v>
      </c>
      <c r="J758">
        <v>0</v>
      </c>
      <c r="K758" t="str">
        <f t="shared" si="11"/>
        <v>Not Affected</v>
      </c>
      <c r="L758" t="str" cm="1">
        <f t="array" ref="L758">_xlfn.IFS(B758&gt;60,"Older Adult(&gt;60)",B758&gt;35,"Middle-aged Adult(36-60)",B758&gt;18,"Young Adult(19-35)",B758&gt;12,"Adolescent(13-18)",B758&gt;0,"Child(&lt;13)")</f>
        <v>Middle-aged Adult(36-60)</v>
      </c>
    </row>
    <row r="759" spans="1:12">
      <c r="A759" t="s">
        <v>15</v>
      </c>
      <c r="B759">
        <v>20</v>
      </c>
      <c r="C759">
        <v>0</v>
      </c>
      <c r="D759">
        <v>0</v>
      </c>
      <c r="E759">
        <v>0</v>
      </c>
      <c r="F759" t="s">
        <v>27</v>
      </c>
      <c r="G759" t="s">
        <v>17</v>
      </c>
      <c r="H759" t="s">
        <v>13</v>
      </c>
      <c r="I759" t="s">
        <v>14</v>
      </c>
      <c r="J759">
        <v>0</v>
      </c>
      <c r="K759" t="str">
        <f t="shared" si="11"/>
        <v>Not Affected</v>
      </c>
      <c r="L759" t="str" cm="1">
        <f t="array" ref="L759">_xlfn.IFS(B759&gt;60,"Older Adult(&gt;60)",B759&gt;35,"Middle-aged Adult(36-60)",B759&gt;18,"Young Adult(19-35)",B759&gt;12,"Adolescent(13-18)",B759&gt;0,"Child(&lt;13)")</f>
        <v>Young Adult(19-35)</v>
      </c>
    </row>
    <row r="760" spans="1:12">
      <c r="A760" t="s">
        <v>15</v>
      </c>
      <c r="B760">
        <v>58</v>
      </c>
      <c r="C760">
        <v>1</v>
      </c>
      <c r="D760">
        <v>1</v>
      </c>
      <c r="E760">
        <v>1</v>
      </c>
      <c r="F760" t="s">
        <v>26</v>
      </c>
      <c r="G760" t="s">
        <v>12</v>
      </c>
      <c r="H760" t="s">
        <v>24</v>
      </c>
      <c r="I760" t="s">
        <v>14</v>
      </c>
      <c r="J760">
        <v>1</v>
      </c>
      <c r="K760" t="str">
        <f t="shared" si="11"/>
        <v>Affected</v>
      </c>
      <c r="L760" t="str" cm="1">
        <f t="array" ref="L760">_xlfn.IFS(B760&gt;60,"Older Adult(&gt;60)",B760&gt;35,"Middle-aged Adult(36-60)",B760&gt;18,"Young Adult(19-35)",B760&gt;12,"Adolescent(13-18)",B760&gt;0,"Child(&lt;13)")</f>
        <v>Middle-aged Adult(36-60)</v>
      </c>
    </row>
    <row r="761" spans="1:12">
      <c r="A761" t="s">
        <v>10</v>
      </c>
      <c r="B761">
        <v>46</v>
      </c>
      <c r="C761">
        <v>0</v>
      </c>
      <c r="D761">
        <v>0</v>
      </c>
      <c r="E761">
        <v>0</v>
      </c>
      <c r="F761" t="s">
        <v>46</v>
      </c>
      <c r="G761" t="s">
        <v>17</v>
      </c>
      <c r="H761" t="s">
        <v>24</v>
      </c>
      <c r="I761" t="s">
        <v>14</v>
      </c>
      <c r="J761">
        <v>0</v>
      </c>
      <c r="K761" t="str">
        <f t="shared" si="11"/>
        <v>Not Affected</v>
      </c>
      <c r="L761" t="str" cm="1">
        <f t="array" ref="L761">_xlfn.IFS(B761&gt;60,"Older Adult(&gt;60)",B761&gt;35,"Middle-aged Adult(36-60)",B761&gt;18,"Young Adult(19-35)",B761&gt;12,"Adolescent(13-18)",B761&gt;0,"Child(&lt;13)")</f>
        <v>Middle-aged Adult(36-60)</v>
      </c>
    </row>
    <row r="762" spans="1:12">
      <c r="A762" t="s">
        <v>15</v>
      </c>
      <c r="B762">
        <v>24</v>
      </c>
      <c r="C762">
        <v>0</v>
      </c>
      <c r="D762">
        <v>0</v>
      </c>
      <c r="E762">
        <v>1</v>
      </c>
      <c r="F762" t="s">
        <v>27</v>
      </c>
      <c r="G762" t="s">
        <v>12</v>
      </c>
      <c r="H762" t="s">
        <v>13</v>
      </c>
      <c r="I762" t="s">
        <v>14</v>
      </c>
      <c r="J762">
        <v>0</v>
      </c>
      <c r="K762" t="str">
        <f t="shared" si="11"/>
        <v>Not Affected</v>
      </c>
      <c r="L762" t="str" cm="1">
        <f t="array" ref="L762">_xlfn.IFS(B762&gt;60,"Older Adult(&gt;60)",B762&gt;35,"Middle-aged Adult(36-60)",B762&gt;18,"Young Adult(19-35)",B762&gt;12,"Adolescent(13-18)",B762&gt;0,"Child(&lt;13)")</f>
        <v>Young Adult(19-35)</v>
      </c>
    </row>
    <row r="763" spans="1:12">
      <c r="A763" t="s">
        <v>15</v>
      </c>
      <c r="B763">
        <v>29</v>
      </c>
      <c r="C763">
        <v>0</v>
      </c>
      <c r="D763">
        <v>0</v>
      </c>
      <c r="E763">
        <v>0</v>
      </c>
      <c r="F763" t="s">
        <v>42</v>
      </c>
      <c r="G763" t="s">
        <v>17</v>
      </c>
      <c r="H763" t="s">
        <v>19</v>
      </c>
      <c r="I763" t="s">
        <v>14</v>
      </c>
      <c r="J763">
        <v>0</v>
      </c>
      <c r="K763" t="str">
        <f t="shared" si="11"/>
        <v>Not Affected</v>
      </c>
      <c r="L763" t="str" cm="1">
        <f t="array" ref="L763">_xlfn.IFS(B763&gt;60,"Older Adult(&gt;60)",B763&gt;35,"Middle-aged Adult(36-60)",B763&gt;18,"Young Adult(19-35)",B763&gt;12,"Adolescent(13-18)",B763&gt;0,"Child(&lt;13)")</f>
        <v>Young Adult(19-35)</v>
      </c>
    </row>
    <row r="764" spans="1:12">
      <c r="A764" t="s">
        <v>15</v>
      </c>
      <c r="B764">
        <v>46</v>
      </c>
      <c r="C764">
        <v>0</v>
      </c>
      <c r="D764">
        <v>0</v>
      </c>
      <c r="E764">
        <v>1</v>
      </c>
      <c r="F764" t="s">
        <v>50</v>
      </c>
      <c r="G764" t="s">
        <v>12</v>
      </c>
      <c r="H764" t="s">
        <v>24</v>
      </c>
      <c r="I764" t="s">
        <v>14</v>
      </c>
      <c r="J764">
        <v>0</v>
      </c>
      <c r="K764" t="str">
        <f t="shared" si="11"/>
        <v>Not Affected</v>
      </c>
      <c r="L764" t="str" cm="1">
        <f t="array" ref="L764">_xlfn.IFS(B764&gt;60,"Older Adult(&gt;60)",B764&gt;35,"Middle-aged Adult(36-60)",B764&gt;18,"Young Adult(19-35)",B764&gt;12,"Adolescent(13-18)",B764&gt;0,"Child(&lt;13)")</f>
        <v>Middle-aged Adult(36-60)</v>
      </c>
    </row>
    <row r="765" spans="1:12">
      <c r="A765" t="s">
        <v>15</v>
      </c>
      <c r="B765">
        <v>42</v>
      </c>
      <c r="C765">
        <v>1</v>
      </c>
      <c r="D765">
        <v>1</v>
      </c>
      <c r="E765">
        <v>1</v>
      </c>
      <c r="F765" t="s">
        <v>51</v>
      </c>
      <c r="G765" t="s">
        <v>17</v>
      </c>
      <c r="H765" t="s">
        <v>13</v>
      </c>
      <c r="I765" t="s">
        <v>14</v>
      </c>
      <c r="J765">
        <v>1</v>
      </c>
      <c r="K765" t="str">
        <f t="shared" si="11"/>
        <v>Affected</v>
      </c>
      <c r="L765" t="str" cm="1">
        <f t="array" ref="L765">_xlfn.IFS(B765&gt;60,"Older Adult(&gt;60)",B765&gt;35,"Middle-aged Adult(36-60)",B765&gt;18,"Young Adult(19-35)",B765&gt;12,"Adolescent(13-18)",B765&gt;0,"Child(&lt;13)")</f>
        <v>Middle-aged Adult(36-60)</v>
      </c>
    </row>
    <row r="766" spans="1:12">
      <c r="A766" t="s">
        <v>10</v>
      </c>
      <c r="B766">
        <v>56</v>
      </c>
      <c r="C766">
        <v>0</v>
      </c>
      <c r="D766">
        <v>0</v>
      </c>
      <c r="E766">
        <v>0</v>
      </c>
      <c r="F766" t="s">
        <v>42</v>
      </c>
      <c r="G766" t="s">
        <v>12</v>
      </c>
      <c r="H766" t="s">
        <v>19</v>
      </c>
      <c r="I766" t="s">
        <v>14</v>
      </c>
      <c r="J766">
        <v>0</v>
      </c>
      <c r="K766" t="str">
        <f t="shared" si="11"/>
        <v>Not Affected</v>
      </c>
      <c r="L766" t="str" cm="1">
        <f t="array" ref="L766">_xlfn.IFS(B766&gt;60,"Older Adult(&gt;60)",B766&gt;35,"Middle-aged Adult(36-60)",B766&gt;18,"Young Adult(19-35)",B766&gt;12,"Adolescent(13-18)",B766&gt;0,"Child(&lt;13)")</f>
        <v>Middle-aged Adult(36-60)</v>
      </c>
    </row>
    <row r="767" spans="1:12">
      <c r="A767" t="s">
        <v>15</v>
      </c>
      <c r="B767">
        <v>8</v>
      </c>
      <c r="C767">
        <v>0</v>
      </c>
      <c r="D767">
        <v>0</v>
      </c>
      <c r="E767">
        <v>0</v>
      </c>
      <c r="F767" t="s">
        <v>18</v>
      </c>
      <c r="G767" t="s">
        <v>17</v>
      </c>
      <c r="H767" t="s">
        <v>24</v>
      </c>
      <c r="I767" t="s">
        <v>14</v>
      </c>
      <c r="J767">
        <v>0</v>
      </c>
      <c r="K767" t="str">
        <f t="shared" si="11"/>
        <v>Not Affected</v>
      </c>
      <c r="L767" t="str" cm="1">
        <f t="array" ref="L767">_xlfn.IFS(B767&gt;60,"Older Adult(&gt;60)",B767&gt;35,"Middle-aged Adult(36-60)",B767&gt;18,"Young Adult(19-35)",B767&gt;12,"Adolescent(13-18)",B767&gt;0,"Child(&lt;13)")</f>
        <v>Child(&lt;13)</v>
      </c>
    </row>
    <row r="768" spans="1:12">
      <c r="A768" t="s">
        <v>15</v>
      </c>
      <c r="B768">
        <v>13</v>
      </c>
      <c r="C768">
        <v>0</v>
      </c>
      <c r="D768">
        <v>0</v>
      </c>
      <c r="E768">
        <v>0</v>
      </c>
      <c r="F768" t="s">
        <v>41</v>
      </c>
      <c r="G768" t="s">
        <v>12</v>
      </c>
      <c r="H768" t="s">
        <v>13</v>
      </c>
      <c r="I768" t="s">
        <v>14</v>
      </c>
      <c r="J768">
        <v>0</v>
      </c>
      <c r="K768" t="str">
        <f t="shared" si="11"/>
        <v>Not Affected</v>
      </c>
      <c r="L768" t="str" cm="1">
        <f t="array" ref="L768">_xlfn.IFS(B768&gt;60,"Older Adult(&gt;60)",B768&gt;35,"Middle-aged Adult(36-60)",B768&gt;18,"Young Adult(19-35)",B768&gt;12,"Adolescent(13-18)",B768&gt;0,"Child(&lt;13)")</f>
        <v>Adolescent(13-18)</v>
      </c>
    </row>
    <row r="769" spans="1:12">
      <c r="A769" t="s">
        <v>15</v>
      </c>
      <c r="B769">
        <v>10</v>
      </c>
      <c r="C769">
        <v>1</v>
      </c>
      <c r="D769">
        <v>1</v>
      </c>
      <c r="E769">
        <v>0</v>
      </c>
      <c r="F769" t="s">
        <v>29</v>
      </c>
      <c r="G769" t="s">
        <v>17</v>
      </c>
      <c r="H769" t="s">
        <v>24</v>
      </c>
      <c r="I769" t="s">
        <v>14</v>
      </c>
      <c r="J769">
        <v>1</v>
      </c>
      <c r="K769" t="str">
        <f t="shared" si="11"/>
        <v>Affected</v>
      </c>
      <c r="L769" t="str" cm="1">
        <f t="array" ref="L769">_xlfn.IFS(B769&gt;60,"Older Adult(&gt;60)",B769&gt;35,"Middle-aged Adult(36-60)",B769&gt;18,"Young Adult(19-35)",B769&gt;12,"Adolescent(13-18)",B769&gt;0,"Child(&lt;13)")</f>
        <v>Child(&lt;13)</v>
      </c>
    </row>
    <row r="770" spans="1:12">
      <c r="A770" t="s">
        <v>15</v>
      </c>
      <c r="B770">
        <v>34</v>
      </c>
      <c r="C770">
        <v>0</v>
      </c>
      <c r="D770">
        <v>0</v>
      </c>
      <c r="E770">
        <v>1</v>
      </c>
      <c r="F770" t="s">
        <v>52</v>
      </c>
      <c r="G770" t="s">
        <v>12</v>
      </c>
      <c r="H770" t="s">
        <v>19</v>
      </c>
      <c r="I770" t="s">
        <v>14</v>
      </c>
      <c r="J770">
        <v>0</v>
      </c>
      <c r="K770" t="str">
        <f t="shared" si="11"/>
        <v>Not Affected</v>
      </c>
      <c r="L770" t="str" cm="1">
        <f t="array" ref="L770">_xlfn.IFS(B770&gt;60,"Older Adult(&gt;60)",B770&gt;35,"Middle-aged Adult(36-60)",B770&gt;18,"Young Adult(19-35)",B770&gt;12,"Adolescent(13-18)",B770&gt;0,"Child(&lt;13)")</f>
        <v>Young Adult(19-35)</v>
      </c>
    </row>
    <row r="771" spans="1:12">
      <c r="A771" t="s">
        <v>10</v>
      </c>
      <c r="B771">
        <v>33</v>
      </c>
      <c r="C771">
        <v>1</v>
      </c>
      <c r="D771">
        <v>1</v>
      </c>
      <c r="E771">
        <v>1</v>
      </c>
      <c r="F771" t="s">
        <v>44</v>
      </c>
      <c r="G771" t="s">
        <v>17</v>
      </c>
      <c r="H771" t="s">
        <v>24</v>
      </c>
      <c r="I771" t="s">
        <v>14</v>
      </c>
      <c r="J771">
        <v>1</v>
      </c>
      <c r="K771" t="str">
        <f t="shared" ref="K771:K834" si="12">IF(J771=0, "Not Affected", "Affected")</f>
        <v>Affected</v>
      </c>
      <c r="L771" t="str" cm="1">
        <f t="array" ref="L771">_xlfn.IFS(B771&gt;60,"Older Adult(&gt;60)",B771&gt;35,"Middle-aged Adult(36-60)",B771&gt;18,"Young Adult(19-35)",B771&gt;12,"Adolescent(13-18)",B771&gt;0,"Child(&lt;13)")</f>
        <v>Young Adult(19-35)</v>
      </c>
    </row>
    <row r="772" spans="1:12">
      <c r="A772" t="s">
        <v>15</v>
      </c>
      <c r="B772">
        <v>43</v>
      </c>
      <c r="C772">
        <v>1</v>
      </c>
      <c r="D772">
        <v>1</v>
      </c>
      <c r="E772">
        <v>0</v>
      </c>
      <c r="F772" t="s">
        <v>37</v>
      </c>
      <c r="G772" t="s">
        <v>12</v>
      </c>
      <c r="H772" t="s">
        <v>19</v>
      </c>
      <c r="I772" t="s">
        <v>14</v>
      </c>
      <c r="J772">
        <v>1</v>
      </c>
      <c r="K772" t="str">
        <f t="shared" si="12"/>
        <v>Affected</v>
      </c>
      <c r="L772" t="str" cm="1">
        <f t="array" ref="L772">_xlfn.IFS(B772&gt;60,"Older Adult(&gt;60)",B772&gt;35,"Middle-aged Adult(36-60)",B772&gt;18,"Young Adult(19-35)",B772&gt;12,"Adolescent(13-18)",B772&gt;0,"Child(&lt;13)")</f>
        <v>Middle-aged Adult(36-60)</v>
      </c>
    </row>
    <row r="773" spans="1:12">
      <c r="A773" t="s">
        <v>10</v>
      </c>
      <c r="B773">
        <v>36</v>
      </c>
      <c r="C773">
        <v>1</v>
      </c>
      <c r="D773">
        <v>1</v>
      </c>
      <c r="E773">
        <v>0</v>
      </c>
      <c r="F773" t="s">
        <v>39</v>
      </c>
      <c r="G773" t="s">
        <v>17</v>
      </c>
      <c r="H773" t="s">
        <v>19</v>
      </c>
      <c r="I773" t="s">
        <v>14</v>
      </c>
      <c r="J773">
        <v>1</v>
      </c>
      <c r="K773" t="str">
        <f t="shared" si="12"/>
        <v>Affected</v>
      </c>
      <c r="L773" t="str" cm="1">
        <f t="array" ref="L773">_xlfn.IFS(B773&gt;60,"Older Adult(&gt;60)",B773&gt;35,"Middle-aged Adult(36-60)",B773&gt;18,"Young Adult(19-35)",B773&gt;12,"Adolescent(13-18)",B773&gt;0,"Child(&lt;13)")</f>
        <v>Middle-aged Adult(36-60)</v>
      </c>
    </row>
    <row r="774" spans="1:12">
      <c r="A774" t="s">
        <v>10</v>
      </c>
      <c r="B774">
        <v>50</v>
      </c>
      <c r="C774">
        <v>1</v>
      </c>
      <c r="D774">
        <v>1</v>
      </c>
      <c r="E774">
        <v>0</v>
      </c>
      <c r="F774" t="s">
        <v>27</v>
      </c>
      <c r="G774" t="s">
        <v>12</v>
      </c>
      <c r="H774" t="s">
        <v>19</v>
      </c>
      <c r="I774" t="s">
        <v>14</v>
      </c>
      <c r="J774">
        <v>1</v>
      </c>
      <c r="K774" t="str">
        <f t="shared" si="12"/>
        <v>Affected</v>
      </c>
      <c r="L774" t="str" cm="1">
        <f t="array" ref="L774">_xlfn.IFS(B774&gt;60,"Older Adult(&gt;60)",B774&gt;35,"Middle-aged Adult(36-60)",B774&gt;18,"Young Adult(19-35)",B774&gt;12,"Adolescent(13-18)",B774&gt;0,"Child(&lt;13)")</f>
        <v>Middle-aged Adult(36-60)</v>
      </c>
    </row>
    <row r="775" spans="1:12">
      <c r="A775" t="s">
        <v>15</v>
      </c>
      <c r="B775">
        <v>14</v>
      </c>
      <c r="C775">
        <v>1</v>
      </c>
      <c r="D775">
        <v>1</v>
      </c>
      <c r="E775">
        <v>0</v>
      </c>
      <c r="F775" t="s">
        <v>40</v>
      </c>
      <c r="G775" t="s">
        <v>17</v>
      </c>
      <c r="H775" t="s">
        <v>13</v>
      </c>
      <c r="I775" t="s">
        <v>14</v>
      </c>
      <c r="J775">
        <v>1</v>
      </c>
      <c r="K775" t="str">
        <f t="shared" si="12"/>
        <v>Affected</v>
      </c>
      <c r="L775" t="str" cm="1">
        <f t="array" ref="L775">_xlfn.IFS(B775&gt;60,"Older Adult(&gt;60)",B775&gt;35,"Middle-aged Adult(36-60)",B775&gt;18,"Young Adult(19-35)",B775&gt;12,"Adolescent(13-18)",B775&gt;0,"Child(&lt;13)")</f>
        <v>Adolescent(13-18)</v>
      </c>
    </row>
    <row r="776" spans="1:12">
      <c r="A776" t="s">
        <v>15</v>
      </c>
      <c r="B776">
        <v>10</v>
      </c>
      <c r="C776">
        <v>0</v>
      </c>
      <c r="D776">
        <v>0</v>
      </c>
      <c r="E776">
        <v>1</v>
      </c>
      <c r="F776" t="s">
        <v>37</v>
      </c>
      <c r="G776" t="s">
        <v>12</v>
      </c>
      <c r="H776" t="s">
        <v>19</v>
      </c>
      <c r="I776" t="s">
        <v>14</v>
      </c>
      <c r="J776">
        <v>0</v>
      </c>
      <c r="K776" t="str">
        <f t="shared" si="12"/>
        <v>Not Affected</v>
      </c>
      <c r="L776" t="str" cm="1">
        <f t="array" ref="L776">_xlfn.IFS(B776&gt;60,"Older Adult(&gt;60)",B776&gt;35,"Middle-aged Adult(36-60)",B776&gt;18,"Young Adult(19-35)",B776&gt;12,"Adolescent(13-18)",B776&gt;0,"Child(&lt;13)")</f>
        <v>Child(&lt;13)</v>
      </c>
    </row>
    <row r="777" spans="1:12">
      <c r="A777" t="s">
        <v>15</v>
      </c>
      <c r="B777">
        <v>50</v>
      </c>
      <c r="C777">
        <v>1</v>
      </c>
      <c r="D777">
        <v>1</v>
      </c>
      <c r="E777">
        <v>0</v>
      </c>
      <c r="F777" t="s">
        <v>36</v>
      </c>
      <c r="G777" t="s">
        <v>17</v>
      </c>
      <c r="H777" t="s">
        <v>19</v>
      </c>
      <c r="I777" t="s">
        <v>14</v>
      </c>
      <c r="J777">
        <v>1</v>
      </c>
      <c r="K777" t="str">
        <f t="shared" si="12"/>
        <v>Affected</v>
      </c>
      <c r="L777" t="str" cm="1">
        <f t="array" ref="L777">_xlfn.IFS(B777&gt;60,"Older Adult(&gt;60)",B777&gt;35,"Middle-aged Adult(36-60)",B777&gt;18,"Young Adult(19-35)",B777&gt;12,"Adolescent(13-18)",B777&gt;0,"Child(&lt;13)")</f>
        <v>Middle-aged Adult(36-60)</v>
      </c>
    </row>
    <row r="778" spans="1:12">
      <c r="A778" t="s">
        <v>15</v>
      </c>
      <c r="B778">
        <v>62</v>
      </c>
      <c r="C778">
        <v>1</v>
      </c>
      <c r="D778">
        <v>1</v>
      </c>
      <c r="E778">
        <v>0</v>
      </c>
      <c r="F778" t="s">
        <v>29</v>
      </c>
      <c r="G778" t="s">
        <v>12</v>
      </c>
      <c r="H778" t="s">
        <v>19</v>
      </c>
      <c r="I778" t="s">
        <v>14</v>
      </c>
      <c r="J778">
        <v>1</v>
      </c>
      <c r="K778" t="str">
        <f t="shared" si="12"/>
        <v>Affected</v>
      </c>
      <c r="L778" t="str" cm="1">
        <f t="array" ref="L778">_xlfn.IFS(B778&gt;60,"Older Adult(&gt;60)",B778&gt;35,"Middle-aged Adult(36-60)",B778&gt;18,"Young Adult(19-35)",B778&gt;12,"Adolescent(13-18)",B778&gt;0,"Child(&lt;13)")</f>
        <v>Older Adult(&gt;60)</v>
      </c>
    </row>
    <row r="779" spans="1:12">
      <c r="A779" t="s">
        <v>10</v>
      </c>
      <c r="B779">
        <v>11</v>
      </c>
      <c r="C779">
        <v>0</v>
      </c>
      <c r="D779">
        <v>0</v>
      </c>
      <c r="E779">
        <v>0</v>
      </c>
      <c r="F779" t="s">
        <v>39</v>
      </c>
      <c r="G779" t="s">
        <v>17</v>
      </c>
      <c r="H779" t="s">
        <v>13</v>
      </c>
      <c r="I779" t="s">
        <v>14</v>
      </c>
      <c r="J779">
        <v>0</v>
      </c>
      <c r="K779" t="str">
        <f t="shared" si="12"/>
        <v>Not Affected</v>
      </c>
      <c r="L779" t="str" cm="1">
        <f t="array" ref="L779">_xlfn.IFS(B779&gt;60,"Older Adult(&gt;60)",B779&gt;35,"Middle-aged Adult(36-60)",B779&gt;18,"Young Adult(19-35)",B779&gt;12,"Adolescent(13-18)",B779&gt;0,"Child(&lt;13)")</f>
        <v>Child(&lt;13)</v>
      </c>
    </row>
    <row r="780" spans="1:12">
      <c r="A780" t="s">
        <v>15</v>
      </c>
      <c r="B780">
        <v>40</v>
      </c>
      <c r="C780">
        <v>1</v>
      </c>
      <c r="D780">
        <v>1</v>
      </c>
      <c r="E780">
        <v>1</v>
      </c>
      <c r="F780" t="s">
        <v>48</v>
      </c>
      <c r="G780" t="s">
        <v>12</v>
      </c>
      <c r="H780" t="s">
        <v>13</v>
      </c>
      <c r="I780" t="s">
        <v>14</v>
      </c>
      <c r="J780">
        <v>1</v>
      </c>
      <c r="K780" t="str">
        <f t="shared" si="12"/>
        <v>Affected</v>
      </c>
      <c r="L780" t="str" cm="1">
        <f t="array" ref="L780">_xlfn.IFS(B780&gt;60,"Older Adult(&gt;60)",B780&gt;35,"Middle-aged Adult(36-60)",B780&gt;18,"Young Adult(19-35)",B780&gt;12,"Adolescent(13-18)",B780&gt;0,"Child(&lt;13)")</f>
        <v>Middle-aged Adult(36-60)</v>
      </c>
    </row>
    <row r="781" spans="1:12">
      <c r="A781" t="s">
        <v>15</v>
      </c>
      <c r="B781">
        <v>50</v>
      </c>
      <c r="C781">
        <v>1</v>
      </c>
      <c r="D781">
        <v>1</v>
      </c>
      <c r="E781">
        <v>1</v>
      </c>
      <c r="F781" t="s">
        <v>16</v>
      </c>
      <c r="G781" t="s">
        <v>17</v>
      </c>
      <c r="H781" t="s">
        <v>13</v>
      </c>
      <c r="I781" t="s">
        <v>14</v>
      </c>
      <c r="J781">
        <v>1</v>
      </c>
      <c r="K781" t="str">
        <f t="shared" si="12"/>
        <v>Affected</v>
      </c>
      <c r="L781" t="str" cm="1">
        <f t="array" ref="L781">_xlfn.IFS(B781&gt;60,"Older Adult(&gt;60)",B781&gt;35,"Middle-aged Adult(36-60)",B781&gt;18,"Young Adult(19-35)",B781&gt;12,"Adolescent(13-18)",B781&gt;0,"Child(&lt;13)")</f>
        <v>Middle-aged Adult(36-60)</v>
      </c>
    </row>
    <row r="782" spans="1:12">
      <c r="A782" t="s">
        <v>15</v>
      </c>
      <c r="B782">
        <v>17</v>
      </c>
      <c r="C782">
        <v>0</v>
      </c>
      <c r="D782">
        <v>0</v>
      </c>
      <c r="E782">
        <v>0</v>
      </c>
      <c r="F782" t="s">
        <v>38</v>
      </c>
      <c r="G782" t="s">
        <v>12</v>
      </c>
      <c r="H782" t="s">
        <v>19</v>
      </c>
      <c r="I782" t="s">
        <v>14</v>
      </c>
      <c r="J782">
        <v>0</v>
      </c>
      <c r="K782" t="str">
        <f t="shared" si="12"/>
        <v>Not Affected</v>
      </c>
      <c r="L782" t="str" cm="1">
        <f t="array" ref="L782">_xlfn.IFS(B782&gt;60,"Older Adult(&gt;60)",B782&gt;35,"Middle-aged Adult(36-60)",B782&gt;18,"Young Adult(19-35)",B782&gt;12,"Adolescent(13-18)",B782&gt;0,"Child(&lt;13)")</f>
        <v>Adolescent(13-18)</v>
      </c>
    </row>
    <row r="783" spans="1:12">
      <c r="A783" t="s">
        <v>10</v>
      </c>
      <c r="B783">
        <v>31</v>
      </c>
      <c r="C783">
        <v>1</v>
      </c>
      <c r="D783">
        <v>1</v>
      </c>
      <c r="E783">
        <v>1</v>
      </c>
      <c r="F783" t="s">
        <v>51</v>
      </c>
      <c r="G783" t="s">
        <v>17</v>
      </c>
      <c r="H783" t="s">
        <v>13</v>
      </c>
      <c r="I783" t="s">
        <v>14</v>
      </c>
      <c r="J783">
        <v>1</v>
      </c>
      <c r="K783" t="str">
        <f t="shared" si="12"/>
        <v>Affected</v>
      </c>
      <c r="L783" t="str" cm="1">
        <f t="array" ref="L783">_xlfn.IFS(B783&gt;60,"Older Adult(&gt;60)",B783&gt;35,"Middle-aged Adult(36-60)",B783&gt;18,"Young Adult(19-35)",B783&gt;12,"Adolescent(13-18)",B783&gt;0,"Child(&lt;13)")</f>
        <v>Young Adult(19-35)</v>
      </c>
    </row>
    <row r="784" spans="1:12">
      <c r="A784" t="s">
        <v>10</v>
      </c>
      <c r="B784">
        <v>53</v>
      </c>
      <c r="C784">
        <v>1</v>
      </c>
      <c r="D784">
        <v>1</v>
      </c>
      <c r="E784">
        <v>1</v>
      </c>
      <c r="F784" t="s">
        <v>20</v>
      </c>
      <c r="G784" t="s">
        <v>12</v>
      </c>
      <c r="H784" t="s">
        <v>13</v>
      </c>
      <c r="I784" t="s">
        <v>14</v>
      </c>
      <c r="J784">
        <v>1</v>
      </c>
      <c r="K784" t="str">
        <f t="shared" si="12"/>
        <v>Affected</v>
      </c>
      <c r="L784" t="str" cm="1">
        <f t="array" ref="L784">_xlfn.IFS(B784&gt;60,"Older Adult(&gt;60)",B784&gt;35,"Middle-aged Adult(36-60)",B784&gt;18,"Young Adult(19-35)",B784&gt;12,"Adolescent(13-18)",B784&gt;0,"Child(&lt;13)")</f>
        <v>Middle-aged Adult(36-60)</v>
      </c>
    </row>
    <row r="785" spans="1:12">
      <c r="A785" t="s">
        <v>15</v>
      </c>
      <c r="B785">
        <v>29</v>
      </c>
      <c r="C785">
        <v>0</v>
      </c>
      <c r="D785">
        <v>0</v>
      </c>
      <c r="E785">
        <v>1</v>
      </c>
      <c r="F785" t="s">
        <v>42</v>
      </c>
      <c r="G785" t="s">
        <v>17</v>
      </c>
      <c r="H785" t="s">
        <v>19</v>
      </c>
      <c r="I785" t="s">
        <v>14</v>
      </c>
      <c r="J785">
        <v>0</v>
      </c>
      <c r="K785" t="str">
        <f t="shared" si="12"/>
        <v>Not Affected</v>
      </c>
      <c r="L785" t="str" cm="1">
        <f t="array" ref="L785">_xlfn.IFS(B785&gt;60,"Older Adult(&gt;60)",B785&gt;35,"Middle-aged Adult(36-60)",B785&gt;18,"Young Adult(19-35)",B785&gt;12,"Adolescent(13-18)",B785&gt;0,"Child(&lt;13)")</f>
        <v>Young Adult(19-35)</v>
      </c>
    </row>
    <row r="786" spans="1:12">
      <c r="A786" t="s">
        <v>10</v>
      </c>
      <c r="B786">
        <v>32</v>
      </c>
      <c r="C786">
        <v>1</v>
      </c>
      <c r="D786">
        <v>1</v>
      </c>
      <c r="E786">
        <v>1</v>
      </c>
      <c r="F786" t="s">
        <v>28</v>
      </c>
      <c r="G786" t="s">
        <v>12</v>
      </c>
      <c r="H786" t="s">
        <v>24</v>
      </c>
      <c r="I786" t="s">
        <v>14</v>
      </c>
      <c r="J786">
        <v>1</v>
      </c>
      <c r="K786" t="str">
        <f t="shared" si="12"/>
        <v>Affected</v>
      </c>
      <c r="L786" t="str" cm="1">
        <f t="array" ref="L786">_xlfn.IFS(B786&gt;60,"Older Adult(&gt;60)",B786&gt;35,"Middle-aged Adult(36-60)",B786&gt;18,"Young Adult(19-35)",B786&gt;12,"Adolescent(13-18)",B786&gt;0,"Child(&lt;13)")</f>
        <v>Young Adult(19-35)</v>
      </c>
    </row>
    <row r="787" spans="1:12">
      <c r="A787" t="s">
        <v>10</v>
      </c>
      <c r="B787">
        <v>45</v>
      </c>
      <c r="C787">
        <v>0</v>
      </c>
      <c r="D787">
        <v>0</v>
      </c>
      <c r="E787">
        <v>0</v>
      </c>
      <c r="F787" t="s">
        <v>53</v>
      </c>
      <c r="G787" t="s">
        <v>17</v>
      </c>
      <c r="H787" t="s">
        <v>19</v>
      </c>
      <c r="I787" t="s">
        <v>14</v>
      </c>
      <c r="J787">
        <v>0</v>
      </c>
      <c r="K787" t="str">
        <f t="shared" si="12"/>
        <v>Not Affected</v>
      </c>
      <c r="L787" t="str" cm="1">
        <f t="array" ref="L787">_xlfn.IFS(B787&gt;60,"Older Adult(&gt;60)",B787&gt;35,"Middle-aged Adult(36-60)",B787&gt;18,"Young Adult(19-35)",B787&gt;12,"Adolescent(13-18)",B787&gt;0,"Child(&lt;13)")</f>
        <v>Middle-aged Adult(36-60)</v>
      </c>
    </row>
    <row r="788" spans="1:12">
      <c r="A788" t="s">
        <v>15</v>
      </c>
      <c r="B788">
        <v>63</v>
      </c>
      <c r="C788">
        <v>0</v>
      </c>
      <c r="D788">
        <v>0</v>
      </c>
      <c r="E788">
        <v>1</v>
      </c>
      <c r="F788" t="s">
        <v>32</v>
      </c>
      <c r="G788" t="s">
        <v>12</v>
      </c>
      <c r="H788" t="s">
        <v>24</v>
      </c>
      <c r="I788" t="s">
        <v>14</v>
      </c>
      <c r="J788">
        <v>0</v>
      </c>
      <c r="K788" t="str">
        <f t="shared" si="12"/>
        <v>Not Affected</v>
      </c>
      <c r="L788" t="str" cm="1">
        <f t="array" ref="L788">_xlfn.IFS(B788&gt;60,"Older Adult(&gt;60)",B788&gt;35,"Middle-aged Adult(36-60)",B788&gt;18,"Young Adult(19-35)",B788&gt;12,"Adolescent(13-18)",B788&gt;0,"Child(&lt;13)")</f>
        <v>Older Adult(&gt;60)</v>
      </c>
    </row>
    <row r="789" spans="1:12">
      <c r="A789" t="s">
        <v>15</v>
      </c>
      <c r="B789">
        <v>22</v>
      </c>
      <c r="C789">
        <v>1</v>
      </c>
      <c r="D789">
        <v>1</v>
      </c>
      <c r="E789">
        <v>1</v>
      </c>
      <c r="F789" t="s">
        <v>47</v>
      </c>
      <c r="G789" t="s">
        <v>17</v>
      </c>
      <c r="H789" t="s">
        <v>19</v>
      </c>
      <c r="I789" t="s">
        <v>14</v>
      </c>
      <c r="J789">
        <v>1</v>
      </c>
      <c r="K789" t="str">
        <f t="shared" si="12"/>
        <v>Affected</v>
      </c>
      <c r="L789" t="str" cm="1">
        <f t="array" ref="L789">_xlfn.IFS(B789&gt;60,"Older Adult(&gt;60)",B789&gt;35,"Middle-aged Adult(36-60)",B789&gt;18,"Young Adult(19-35)",B789&gt;12,"Adolescent(13-18)",B789&gt;0,"Child(&lt;13)")</f>
        <v>Young Adult(19-35)</v>
      </c>
    </row>
    <row r="790" spans="1:12">
      <c r="A790" t="s">
        <v>15</v>
      </c>
      <c r="B790">
        <v>46</v>
      </c>
      <c r="C790">
        <v>0</v>
      </c>
      <c r="D790">
        <v>0</v>
      </c>
      <c r="E790">
        <v>0</v>
      </c>
      <c r="F790" t="s">
        <v>18</v>
      </c>
      <c r="G790" t="s">
        <v>12</v>
      </c>
      <c r="H790" t="s">
        <v>24</v>
      </c>
      <c r="I790" t="s">
        <v>14</v>
      </c>
      <c r="J790">
        <v>0</v>
      </c>
      <c r="K790" t="str">
        <f t="shared" si="12"/>
        <v>Not Affected</v>
      </c>
      <c r="L790" t="str" cm="1">
        <f t="array" ref="L790">_xlfn.IFS(B790&gt;60,"Older Adult(&gt;60)",B790&gt;35,"Middle-aged Adult(36-60)",B790&gt;18,"Young Adult(19-35)",B790&gt;12,"Adolescent(13-18)",B790&gt;0,"Child(&lt;13)")</f>
        <v>Middle-aged Adult(36-60)</v>
      </c>
    </row>
    <row r="791" spans="1:12">
      <c r="A791" t="s">
        <v>15</v>
      </c>
      <c r="B791">
        <v>31</v>
      </c>
      <c r="C791">
        <v>1</v>
      </c>
      <c r="D791">
        <v>1</v>
      </c>
      <c r="E791">
        <v>0</v>
      </c>
      <c r="F791" t="s">
        <v>30</v>
      </c>
      <c r="G791" t="s">
        <v>17</v>
      </c>
      <c r="H791" t="s">
        <v>19</v>
      </c>
      <c r="I791" t="s">
        <v>14</v>
      </c>
      <c r="J791">
        <v>1</v>
      </c>
      <c r="K791" t="str">
        <f t="shared" si="12"/>
        <v>Affected</v>
      </c>
      <c r="L791" t="str" cm="1">
        <f t="array" ref="L791">_xlfn.IFS(B791&gt;60,"Older Adult(&gt;60)",B791&gt;35,"Middle-aged Adult(36-60)",B791&gt;18,"Young Adult(19-35)",B791&gt;12,"Adolescent(13-18)",B791&gt;0,"Child(&lt;13)")</f>
        <v>Young Adult(19-35)</v>
      </c>
    </row>
    <row r="792" spans="1:12">
      <c r="A792" t="s">
        <v>15</v>
      </c>
      <c r="B792">
        <v>42</v>
      </c>
      <c r="C792">
        <v>1</v>
      </c>
      <c r="D792">
        <v>1</v>
      </c>
      <c r="E792">
        <v>1</v>
      </c>
      <c r="F792" t="s">
        <v>52</v>
      </c>
      <c r="G792" t="s">
        <v>12</v>
      </c>
      <c r="H792" t="s">
        <v>24</v>
      </c>
      <c r="I792" t="s">
        <v>14</v>
      </c>
      <c r="J792">
        <v>1</v>
      </c>
      <c r="K792" t="str">
        <f t="shared" si="12"/>
        <v>Affected</v>
      </c>
      <c r="L792" t="str" cm="1">
        <f t="array" ref="L792">_xlfn.IFS(B792&gt;60,"Older Adult(&gt;60)",B792&gt;35,"Middle-aged Adult(36-60)",B792&gt;18,"Young Adult(19-35)",B792&gt;12,"Adolescent(13-18)",B792&gt;0,"Child(&lt;13)")</f>
        <v>Middle-aged Adult(36-60)</v>
      </c>
    </row>
    <row r="793" spans="1:12">
      <c r="A793" t="s">
        <v>15</v>
      </c>
      <c r="B793">
        <v>54</v>
      </c>
      <c r="C793">
        <v>0</v>
      </c>
      <c r="D793">
        <v>0</v>
      </c>
      <c r="E793">
        <v>0</v>
      </c>
      <c r="F793" t="s">
        <v>35</v>
      </c>
      <c r="G793" t="s">
        <v>17</v>
      </c>
      <c r="H793" t="s">
        <v>19</v>
      </c>
      <c r="I793" t="s">
        <v>14</v>
      </c>
      <c r="J793">
        <v>0</v>
      </c>
      <c r="K793" t="str">
        <f t="shared" si="12"/>
        <v>Not Affected</v>
      </c>
      <c r="L793" t="str" cm="1">
        <f t="array" ref="L793">_xlfn.IFS(B793&gt;60,"Older Adult(&gt;60)",B793&gt;35,"Middle-aged Adult(36-60)",B793&gt;18,"Young Adult(19-35)",B793&gt;12,"Adolescent(13-18)",B793&gt;0,"Child(&lt;13)")</f>
        <v>Middle-aged Adult(36-60)</v>
      </c>
    </row>
    <row r="794" spans="1:12">
      <c r="A794" t="s">
        <v>10</v>
      </c>
      <c r="B794">
        <v>27</v>
      </c>
      <c r="C794">
        <v>0</v>
      </c>
      <c r="D794">
        <v>0</v>
      </c>
      <c r="E794">
        <v>1</v>
      </c>
      <c r="F794" t="s">
        <v>37</v>
      </c>
      <c r="G794" t="s">
        <v>12</v>
      </c>
      <c r="H794" t="s">
        <v>19</v>
      </c>
      <c r="I794" t="s">
        <v>14</v>
      </c>
      <c r="J794">
        <v>0</v>
      </c>
      <c r="K794" t="str">
        <f t="shared" si="12"/>
        <v>Not Affected</v>
      </c>
      <c r="L794" t="str" cm="1">
        <f t="array" ref="L794">_xlfn.IFS(B794&gt;60,"Older Adult(&gt;60)",B794&gt;35,"Middle-aged Adult(36-60)",B794&gt;18,"Young Adult(19-35)",B794&gt;12,"Adolescent(13-18)",B794&gt;0,"Child(&lt;13)")</f>
        <v>Young Adult(19-35)</v>
      </c>
    </row>
    <row r="795" spans="1:12">
      <c r="A795" t="s">
        <v>15</v>
      </c>
      <c r="B795">
        <v>57</v>
      </c>
      <c r="C795">
        <v>1</v>
      </c>
      <c r="D795">
        <v>1</v>
      </c>
      <c r="E795">
        <v>1</v>
      </c>
      <c r="F795" t="s">
        <v>23</v>
      </c>
      <c r="G795" t="s">
        <v>17</v>
      </c>
      <c r="H795" t="s">
        <v>19</v>
      </c>
      <c r="I795" t="s">
        <v>14</v>
      </c>
      <c r="J795">
        <v>1</v>
      </c>
      <c r="K795" t="str">
        <f t="shared" si="12"/>
        <v>Affected</v>
      </c>
      <c r="L795" t="str" cm="1">
        <f t="array" ref="L795">_xlfn.IFS(B795&gt;60,"Older Adult(&gt;60)",B795&gt;35,"Middle-aged Adult(36-60)",B795&gt;18,"Young Adult(19-35)",B795&gt;12,"Adolescent(13-18)",B795&gt;0,"Child(&lt;13)")</f>
        <v>Middle-aged Adult(36-60)</v>
      </c>
    </row>
    <row r="796" spans="1:12">
      <c r="A796" t="s">
        <v>15</v>
      </c>
      <c r="B796">
        <v>46</v>
      </c>
      <c r="C796">
        <v>1</v>
      </c>
      <c r="D796">
        <v>1</v>
      </c>
      <c r="E796">
        <v>1</v>
      </c>
      <c r="F796" t="s">
        <v>33</v>
      </c>
      <c r="G796" t="s">
        <v>12</v>
      </c>
      <c r="H796" t="s">
        <v>24</v>
      </c>
      <c r="I796" t="s">
        <v>14</v>
      </c>
      <c r="J796">
        <v>1</v>
      </c>
      <c r="K796" t="str">
        <f t="shared" si="12"/>
        <v>Affected</v>
      </c>
      <c r="L796" t="str" cm="1">
        <f t="array" ref="L796">_xlfn.IFS(B796&gt;60,"Older Adult(&gt;60)",B796&gt;35,"Middle-aged Adult(36-60)",B796&gt;18,"Young Adult(19-35)",B796&gt;12,"Adolescent(13-18)",B796&gt;0,"Child(&lt;13)")</f>
        <v>Middle-aged Adult(36-60)</v>
      </c>
    </row>
    <row r="797" spans="1:12">
      <c r="A797" t="s">
        <v>15</v>
      </c>
      <c r="B797">
        <v>29</v>
      </c>
      <c r="C797">
        <v>0</v>
      </c>
      <c r="D797">
        <v>0</v>
      </c>
      <c r="E797">
        <v>1</v>
      </c>
      <c r="F797" t="s">
        <v>51</v>
      </c>
      <c r="G797" t="s">
        <v>17</v>
      </c>
      <c r="H797" t="s">
        <v>13</v>
      </c>
      <c r="I797" t="s">
        <v>14</v>
      </c>
      <c r="J797">
        <v>0</v>
      </c>
      <c r="K797" t="str">
        <f t="shared" si="12"/>
        <v>Not Affected</v>
      </c>
      <c r="L797" t="str" cm="1">
        <f t="array" ref="L797">_xlfn.IFS(B797&gt;60,"Older Adult(&gt;60)",B797&gt;35,"Middle-aged Adult(36-60)",B797&gt;18,"Young Adult(19-35)",B797&gt;12,"Adolescent(13-18)",B797&gt;0,"Child(&lt;13)")</f>
        <v>Young Adult(19-35)</v>
      </c>
    </row>
    <row r="798" spans="1:12">
      <c r="A798" t="s">
        <v>15</v>
      </c>
      <c r="B798">
        <v>34</v>
      </c>
      <c r="C798">
        <v>1</v>
      </c>
      <c r="D798">
        <v>1</v>
      </c>
      <c r="E798">
        <v>0</v>
      </c>
      <c r="F798" t="s">
        <v>26</v>
      </c>
      <c r="G798" t="s">
        <v>12</v>
      </c>
      <c r="H798" t="s">
        <v>19</v>
      </c>
      <c r="I798" t="s">
        <v>14</v>
      </c>
      <c r="J798">
        <v>1</v>
      </c>
      <c r="K798" t="str">
        <f t="shared" si="12"/>
        <v>Affected</v>
      </c>
      <c r="L798" t="str" cm="1">
        <f t="array" ref="L798">_xlfn.IFS(B798&gt;60,"Older Adult(&gt;60)",B798&gt;35,"Middle-aged Adult(36-60)",B798&gt;18,"Young Adult(19-35)",B798&gt;12,"Adolescent(13-18)",B798&gt;0,"Child(&lt;13)")</f>
        <v>Young Adult(19-35)</v>
      </c>
    </row>
    <row r="799" spans="1:12">
      <c r="A799" t="s">
        <v>10</v>
      </c>
      <c r="B799">
        <v>41</v>
      </c>
      <c r="C799">
        <v>1</v>
      </c>
      <c r="D799">
        <v>1</v>
      </c>
      <c r="E799">
        <v>1</v>
      </c>
      <c r="F799" t="s">
        <v>37</v>
      </c>
      <c r="G799" t="s">
        <v>17</v>
      </c>
      <c r="H799" t="s">
        <v>19</v>
      </c>
      <c r="I799" t="s">
        <v>14</v>
      </c>
      <c r="J799">
        <v>1</v>
      </c>
      <c r="K799" t="str">
        <f t="shared" si="12"/>
        <v>Affected</v>
      </c>
      <c r="L799" t="str" cm="1">
        <f t="array" ref="L799">_xlfn.IFS(B799&gt;60,"Older Adult(&gt;60)",B799&gt;35,"Middle-aged Adult(36-60)",B799&gt;18,"Young Adult(19-35)",B799&gt;12,"Adolescent(13-18)",B799&gt;0,"Child(&lt;13)")</f>
        <v>Middle-aged Adult(36-60)</v>
      </c>
    </row>
    <row r="800" spans="1:12">
      <c r="A800" t="s">
        <v>10</v>
      </c>
      <c r="B800">
        <v>10</v>
      </c>
      <c r="C800">
        <v>0</v>
      </c>
      <c r="D800">
        <v>0</v>
      </c>
      <c r="E800">
        <v>1</v>
      </c>
      <c r="F800" t="s">
        <v>23</v>
      </c>
      <c r="G800" t="s">
        <v>12</v>
      </c>
      <c r="H800" t="s">
        <v>13</v>
      </c>
      <c r="I800" t="s">
        <v>14</v>
      </c>
      <c r="J800">
        <v>0</v>
      </c>
      <c r="K800" t="str">
        <f t="shared" si="12"/>
        <v>Not Affected</v>
      </c>
      <c r="L800" t="str" cm="1">
        <f t="array" ref="L800">_xlfn.IFS(B800&gt;60,"Older Adult(&gt;60)",B800&gt;35,"Middle-aged Adult(36-60)",B800&gt;18,"Young Adult(19-35)",B800&gt;12,"Adolescent(13-18)",B800&gt;0,"Child(&lt;13)")</f>
        <v>Child(&lt;13)</v>
      </c>
    </row>
    <row r="801" spans="1:12">
      <c r="A801" t="s">
        <v>10</v>
      </c>
      <c r="B801">
        <v>27</v>
      </c>
      <c r="C801">
        <v>1</v>
      </c>
      <c r="D801">
        <v>1</v>
      </c>
      <c r="E801">
        <v>0</v>
      </c>
      <c r="F801" t="s">
        <v>20</v>
      </c>
      <c r="G801" t="s">
        <v>17</v>
      </c>
      <c r="H801" t="s">
        <v>13</v>
      </c>
      <c r="I801" t="s">
        <v>14</v>
      </c>
      <c r="J801">
        <v>1</v>
      </c>
      <c r="K801" t="str">
        <f t="shared" si="12"/>
        <v>Affected</v>
      </c>
      <c r="L801" t="str" cm="1">
        <f t="array" ref="L801">_xlfn.IFS(B801&gt;60,"Older Adult(&gt;60)",B801&gt;35,"Middle-aged Adult(36-60)",B801&gt;18,"Young Adult(19-35)",B801&gt;12,"Adolescent(13-18)",B801&gt;0,"Child(&lt;13)")</f>
        <v>Young Adult(19-35)</v>
      </c>
    </row>
    <row r="802" spans="1:12">
      <c r="A802" t="s">
        <v>10</v>
      </c>
      <c r="B802">
        <v>26</v>
      </c>
      <c r="C802">
        <v>1</v>
      </c>
      <c r="D802">
        <v>1</v>
      </c>
      <c r="E802">
        <v>1</v>
      </c>
      <c r="F802" t="s">
        <v>39</v>
      </c>
      <c r="G802" t="s">
        <v>12</v>
      </c>
      <c r="H802" t="s">
        <v>24</v>
      </c>
      <c r="I802" t="s">
        <v>14</v>
      </c>
      <c r="J802">
        <v>1</v>
      </c>
      <c r="K802" t="str">
        <f t="shared" si="12"/>
        <v>Affected</v>
      </c>
      <c r="L802" t="str" cm="1">
        <f t="array" ref="L802">_xlfn.IFS(B802&gt;60,"Older Adult(&gt;60)",B802&gt;35,"Middle-aged Adult(36-60)",B802&gt;18,"Young Adult(19-35)",B802&gt;12,"Adolescent(13-18)",B802&gt;0,"Child(&lt;13)")</f>
        <v>Young Adult(19-35)</v>
      </c>
    </row>
    <row r="803" spans="1:12">
      <c r="A803" t="s">
        <v>10</v>
      </c>
      <c r="B803">
        <v>62</v>
      </c>
      <c r="C803">
        <v>1</v>
      </c>
      <c r="D803">
        <v>1</v>
      </c>
      <c r="E803">
        <v>1</v>
      </c>
      <c r="F803" t="s">
        <v>33</v>
      </c>
      <c r="G803" t="s">
        <v>17</v>
      </c>
      <c r="H803" t="s">
        <v>19</v>
      </c>
      <c r="I803" t="s">
        <v>14</v>
      </c>
      <c r="J803">
        <v>1</v>
      </c>
      <c r="K803" t="str">
        <f t="shared" si="12"/>
        <v>Affected</v>
      </c>
      <c r="L803" t="str" cm="1">
        <f t="array" ref="L803">_xlfn.IFS(B803&gt;60,"Older Adult(&gt;60)",B803&gt;35,"Middle-aged Adult(36-60)",B803&gt;18,"Young Adult(19-35)",B803&gt;12,"Adolescent(13-18)",B803&gt;0,"Child(&lt;13)")</f>
        <v>Older Adult(&gt;60)</v>
      </c>
    </row>
    <row r="804" spans="1:12">
      <c r="A804" t="s">
        <v>15</v>
      </c>
      <c r="B804">
        <v>28</v>
      </c>
      <c r="C804">
        <v>1</v>
      </c>
      <c r="D804">
        <v>1</v>
      </c>
      <c r="E804">
        <v>1</v>
      </c>
      <c r="F804" t="s">
        <v>27</v>
      </c>
      <c r="G804" t="s">
        <v>12</v>
      </c>
      <c r="H804" t="s">
        <v>19</v>
      </c>
      <c r="I804" t="s">
        <v>14</v>
      </c>
      <c r="J804">
        <v>1</v>
      </c>
      <c r="K804" t="str">
        <f t="shared" si="12"/>
        <v>Affected</v>
      </c>
      <c r="L804" t="str" cm="1">
        <f t="array" ref="L804">_xlfn.IFS(B804&gt;60,"Older Adult(&gt;60)",B804&gt;35,"Middle-aged Adult(36-60)",B804&gt;18,"Young Adult(19-35)",B804&gt;12,"Adolescent(13-18)",B804&gt;0,"Child(&lt;13)")</f>
        <v>Young Adult(19-35)</v>
      </c>
    </row>
    <row r="805" spans="1:12">
      <c r="A805" t="s">
        <v>15</v>
      </c>
      <c r="B805">
        <v>44</v>
      </c>
      <c r="C805">
        <v>1</v>
      </c>
      <c r="D805">
        <v>1</v>
      </c>
      <c r="E805">
        <v>0</v>
      </c>
      <c r="F805" t="s">
        <v>49</v>
      </c>
      <c r="G805" t="s">
        <v>17</v>
      </c>
      <c r="H805" t="s">
        <v>19</v>
      </c>
      <c r="I805" t="s">
        <v>14</v>
      </c>
      <c r="J805">
        <v>1</v>
      </c>
      <c r="K805" t="str">
        <f t="shared" si="12"/>
        <v>Affected</v>
      </c>
      <c r="L805" t="str" cm="1">
        <f t="array" ref="L805">_xlfn.IFS(B805&gt;60,"Older Adult(&gt;60)",B805&gt;35,"Middle-aged Adult(36-60)",B805&gt;18,"Young Adult(19-35)",B805&gt;12,"Adolescent(13-18)",B805&gt;0,"Child(&lt;13)")</f>
        <v>Middle-aged Adult(36-60)</v>
      </c>
    </row>
    <row r="806" spans="1:12">
      <c r="A806" t="s">
        <v>15</v>
      </c>
      <c r="B806">
        <v>39</v>
      </c>
      <c r="C806">
        <v>1</v>
      </c>
      <c r="D806">
        <v>1</v>
      </c>
      <c r="E806">
        <v>1</v>
      </c>
      <c r="F806" t="s">
        <v>32</v>
      </c>
      <c r="G806" t="s">
        <v>12</v>
      </c>
      <c r="H806" t="s">
        <v>13</v>
      </c>
      <c r="I806" t="s">
        <v>14</v>
      </c>
      <c r="J806">
        <v>1</v>
      </c>
      <c r="K806" t="str">
        <f t="shared" si="12"/>
        <v>Affected</v>
      </c>
      <c r="L806" t="str" cm="1">
        <f t="array" ref="L806">_xlfn.IFS(B806&gt;60,"Older Adult(&gt;60)",B806&gt;35,"Middle-aged Adult(36-60)",B806&gt;18,"Young Adult(19-35)",B806&gt;12,"Adolescent(13-18)",B806&gt;0,"Child(&lt;13)")</f>
        <v>Middle-aged Adult(36-60)</v>
      </c>
    </row>
    <row r="807" spans="1:12">
      <c r="A807" t="s">
        <v>10</v>
      </c>
      <c r="B807">
        <v>11</v>
      </c>
      <c r="C807">
        <v>0</v>
      </c>
      <c r="D807">
        <v>0</v>
      </c>
      <c r="E807">
        <v>1</v>
      </c>
      <c r="F807" t="s">
        <v>50</v>
      </c>
      <c r="G807" t="s">
        <v>17</v>
      </c>
      <c r="H807" t="s">
        <v>24</v>
      </c>
      <c r="I807" t="s">
        <v>14</v>
      </c>
      <c r="J807">
        <v>0</v>
      </c>
      <c r="K807" t="str">
        <f t="shared" si="12"/>
        <v>Not Affected</v>
      </c>
      <c r="L807" t="str" cm="1">
        <f t="array" ref="L807">_xlfn.IFS(B807&gt;60,"Older Adult(&gt;60)",B807&gt;35,"Middle-aged Adult(36-60)",B807&gt;18,"Young Adult(19-35)",B807&gt;12,"Adolescent(13-18)",B807&gt;0,"Child(&lt;13)")</f>
        <v>Child(&lt;13)</v>
      </c>
    </row>
    <row r="808" spans="1:12">
      <c r="A808" t="s">
        <v>10</v>
      </c>
      <c r="B808">
        <v>51</v>
      </c>
      <c r="C808">
        <v>0</v>
      </c>
      <c r="D808">
        <v>0</v>
      </c>
      <c r="E808">
        <v>1</v>
      </c>
      <c r="F808" t="s">
        <v>48</v>
      </c>
      <c r="G808" t="s">
        <v>12</v>
      </c>
      <c r="H808" t="s">
        <v>19</v>
      </c>
      <c r="I808" t="s">
        <v>14</v>
      </c>
      <c r="J808">
        <v>0</v>
      </c>
      <c r="K808" t="str">
        <f t="shared" si="12"/>
        <v>Not Affected</v>
      </c>
      <c r="L808" t="str" cm="1">
        <f t="array" ref="L808">_xlfn.IFS(B808&gt;60,"Older Adult(&gt;60)",B808&gt;35,"Middle-aged Adult(36-60)",B808&gt;18,"Young Adult(19-35)",B808&gt;12,"Adolescent(13-18)",B808&gt;0,"Child(&lt;13)")</f>
        <v>Middle-aged Adult(36-60)</v>
      </c>
    </row>
    <row r="809" spans="1:12">
      <c r="A809" t="s">
        <v>10</v>
      </c>
      <c r="B809">
        <v>34</v>
      </c>
      <c r="C809">
        <v>1</v>
      </c>
      <c r="D809">
        <v>1</v>
      </c>
      <c r="E809">
        <v>0</v>
      </c>
      <c r="F809" t="s">
        <v>22</v>
      </c>
      <c r="G809" t="s">
        <v>17</v>
      </c>
      <c r="H809" t="s">
        <v>24</v>
      </c>
      <c r="I809" t="s">
        <v>14</v>
      </c>
      <c r="J809">
        <v>1</v>
      </c>
      <c r="K809" t="str">
        <f t="shared" si="12"/>
        <v>Affected</v>
      </c>
      <c r="L809" t="str" cm="1">
        <f t="array" ref="L809">_xlfn.IFS(B809&gt;60,"Older Adult(&gt;60)",B809&gt;35,"Middle-aged Adult(36-60)",B809&gt;18,"Young Adult(19-35)",B809&gt;12,"Adolescent(13-18)",B809&gt;0,"Child(&lt;13)")</f>
        <v>Young Adult(19-35)</v>
      </c>
    </row>
    <row r="810" spans="1:12">
      <c r="A810" t="s">
        <v>10</v>
      </c>
      <c r="B810">
        <v>17</v>
      </c>
      <c r="C810">
        <v>0</v>
      </c>
      <c r="D810">
        <v>0</v>
      </c>
      <c r="E810">
        <v>0</v>
      </c>
      <c r="F810" t="s">
        <v>45</v>
      </c>
      <c r="G810" t="s">
        <v>12</v>
      </c>
      <c r="H810" t="s">
        <v>13</v>
      </c>
      <c r="I810" t="s">
        <v>14</v>
      </c>
      <c r="J810">
        <v>0</v>
      </c>
      <c r="K810" t="str">
        <f t="shared" si="12"/>
        <v>Not Affected</v>
      </c>
      <c r="L810" t="str" cm="1">
        <f t="array" ref="L810">_xlfn.IFS(B810&gt;60,"Older Adult(&gt;60)",B810&gt;35,"Middle-aged Adult(36-60)",B810&gt;18,"Young Adult(19-35)",B810&gt;12,"Adolescent(13-18)",B810&gt;0,"Child(&lt;13)")</f>
        <v>Adolescent(13-18)</v>
      </c>
    </row>
    <row r="811" spans="1:12">
      <c r="A811" t="s">
        <v>10</v>
      </c>
      <c r="B811">
        <v>12</v>
      </c>
      <c r="C811">
        <v>1</v>
      </c>
      <c r="D811">
        <v>1</v>
      </c>
      <c r="E811">
        <v>0</v>
      </c>
      <c r="F811" t="s">
        <v>52</v>
      </c>
      <c r="G811" t="s">
        <v>17</v>
      </c>
      <c r="H811" t="s">
        <v>19</v>
      </c>
      <c r="I811" t="s">
        <v>14</v>
      </c>
      <c r="J811">
        <v>1</v>
      </c>
      <c r="K811" t="str">
        <f t="shared" si="12"/>
        <v>Affected</v>
      </c>
      <c r="L811" t="str" cm="1">
        <f t="array" ref="L811">_xlfn.IFS(B811&gt;60,"Older Adult(&gt;60)",B811&gt;35,"Middle-aged Adult(36-60)",B811&gt;18,"Young Adult(19-35)",B811&gt;12,"Adolescent(13-18)",B811&gt;0,"Child(&lt;13)")</f>
        <v>Child(&lt;13)</v>
      </c>
    </row>
    <row r="812" spans="1:12">
      <c r="A812" t="s">
        <v>15</v>
      </c>
      <c r="B812">
        <v>51</v>
      </c>
      <c r="C812">
        <v>0</v>
      </c>
      <c r="D812">
        <v>0</v>
      </c>
      <c r="E812">
        <v>1</v>
      </c>
      <c r="F812" t="s">
        <v>51</v>
      </c>
      <c r="G812" t="s">
        <v>12</v>
      </c>
      <c r="H812" t="s">
        <v>19</v>
      </c>
      <c r="I812" t="s">
        <v>14</v>
      </c>
      <c r="J812">
        <v>0</v>
      </c>
      <c r="K812" t="str">
        <f t="shared" si="12"/>
        <v>Not Affected</v>
      </c>
      <c r="L812" t="str" cm="1">
        <f t="array" ref="L812">_xlfn.IFS(B812&gt;60,"Older Adult(&gt;60)",B812&gt;35,"Middle-aged Adult(36-60)",B812&gt;18,"Young Adult(19-35)",B812&gt;12,"Adolescent(13-18)",B812&gt;0,"Child(&lt;13)")</f>
        <v>Middle-aged Adult(36-60)</v>
      </c>
    </row>
    <row r="813" spans="1:12">
      <c r="A813" t="s">
        <v>10</v>
      </c>
      <c r="B813">
        <v>49</v>
      </c>
      <c r="C813">
        <v>0</v>
      </c>
      <c r="D813">
        <v>0</v>
      </c>
      <c r="E813">
        <v>1</v>
      </c>
      <c r="F813" t="s">
        <v>30</v>
      </c>
      <c r="G813" t="s">
        <v>17</v>
      </c>
      <c r="H813" t="s">
        <v>24</v>
      </c>
      <c r="I813" t="s">
        <v>14</v>
      </c>
      <c r="J813">
        <v>0</v>
      </c>
      <c r="K813" t="str">
        <f t="shared" si="12"/>
        <v>Not Affected</v>
      </c>
      <c r="L813" t="str" cm="1">
        <f t="array" ref="L813">_xlfn.IFS(B813&gt;60,"Older Adult(&gt;60)",B813&gt;35,"Middle-aged Adult(36-60)",B813&gt;18,"Young Adult(19-35)",B813&gt;12,"Adolescent(13-18)",B813&gt;0,"Child(&lt;13)")</f>
        <v>Middle-aged Adult(36-60)</v>
      </c>
    </row>
    <row r="814" spans="1:12">
      <c r="A814" t="s">
        <v>15</v>
      </c>
      <c r="B814">
        <v>40</v>
      </c>
      <c r="C814">
        <v>1</v>
      </c>
      <c r="D814">
        <v>1</v>
      </c>
      <c r="E814">
        <v>0</v>
      </c>
      <c r="F814" t="s">
        <v>48</v>
      </c>
      <c r="G814" t="s">
        <v>12</v>
      </c>
      <c r="H814" t="s">
        <v>19</v>
      </c>
      <c r="I814" t="s">
        <v>14</v>
      </c>
      <c r="J814">
        <v>1</v>
      </c>
      <c r="K814" t="str">
        <f t="shared" si="12"/>
        <v>Affected</v>
      </c>
      <c r="L814" t="str" cm="1">
        <f t="array" ref="L814">_xlfn.IFS(B814&gt;60,"Older Adult(&gt;60)",B814&gt;35,"Middle-aged Adult(36-60)",B814&gt;18,"Young Adult(19-35)",B814&gt;12,"Adolescent(13-18)",B814&gt;0,"Child(&lt;13)")</f>
        <v>Middle-aged Adult(36-60)</v>
      </c>
    </row>
    <row r="815" spans="1:12">
      <c r="A815" t="s">
        <v>15</v>
      </c>
      <c r="B815">
        <v>50</v>
      </c>
      <c r="C815">
        <v>0</v>
      </c>
      <c r="D815">
        <v>0</v>
      </c>
      <c r="E815">
        <v>1</v>
      </c>
      <c r="F815" t="s">
        <v>33</v>
      </c>
      <c r="G815" t="s">
        <v>17</v>
      </c>
      <c r="H815" t="s">
        <v>24</v>
      </c>
      <c r="I815" t="s">
        <v>14</v>
      </c>
      <c r="J815">
        <v>0</v>
      </c>
      <c r="K815" t="str">
        <f t="shared" si="12"/>
        <v>Not Affected</v>
      </c>
      <c r="L815" t="str" cm="1">
        <f t="array" ref="L815">_xlfn.IFS(B815&gt;60,"Older Adult(&gt;60)",B815&gt;35,"Middle-aged Adult(36-60)",B815&gt;18,"Young Adult(19-35)",B815&gt;12,"Adolescent(13-18)",B815&gt;0,"Child(&lt;13)")</f>
        <v>Middle-aged Adult(36-60)</v>
      </c>
    </row>
    <row r="816" spans="1:12">
      <c r="A816" t="s">
        <v>10</v>
      </c>
      <c r="B816">
        <v>31</v>
      </c>
      <c r="C816">
        <v>1</v>
      </c>
      <c r="D816">
        <v>1</v>
      </c>
      <c r="E816">
        <v>1</v>
      </c>
      <c r="F816" t="s">
        <v>25</v>
      </c>
      <c r="G816" t="s">
        <v>12</v>
      </c>
      <c r="H816" t="s">
        <v>13</v>
      </c>
      <c r="I816" t="s">
        <v>14</v>
      </c>
      <c r="J816">
        <v>1</v>
      </c>
      <c r="K816" t="str">
        <f t="shared" si="12"/>
        <v>Affected</v>
      </c>
      <c r="L816" t="str" cm="1">
        <f t="array" ref="L816">_xlfn.IFS(B816&gt;60,"Older Adult(&gt;60)",B816&gt;35,"Middle-aged Adult(36-60)",B816&gt;18,"Young Adult(19-35)",B816&gt;12,"Adolescent(13-18)",B816&gt;0,"Child(&lt;13)")</f>
        <v>Young Adult(19-35)</v>
      </c>
    </row>
    <row r="817" spans="1:12">
      <c r="A817" t="s">
        <v>15</v>
      </c>
      <c r="B817">
        <v>49</v>
      </c>
      <c r="C817">
        <v>1</v>
      </c>
      <c r="D817">
        <v>1</v>
      </c>
      <c r="E817">
        <v>1</v>
      </c>
      <c r="F817" t="s">
        <v>48</v>
      </c>
      <c r="G817" t="s">
        <v>17</v>
      </c>
      <c r="H817" t="s">
        <v>13</v>
      </c>
      <c r="I817" t="s">
        <v>14</v>
      </c>
      <c r="J817">
        <v>1</v>
      </c>
      <c r="K817" t="str">
        <f t="shared" si="12"/>
        <v>Affected</v>
      </c>
      <c r="L817" t="str" cm="1">
        <f t="array" ref="L817">_xlfn.IFS(B817&gt;60,"Older Adult(&gt;60)",B817&gt;35,"Middle-aged Adult(36-60)",B817&gt;18,"Young Adult(19-35)",B817&gt;12,"Adolescent(13-18)",B817&gt;0,"Child(&lt;13)")</f>
        <v>Middle-aged Adult(36-60)</v>
      </c>
    </row>
    <row r="818" spans="1:12">
      <c r="A818" t="s">
        <v>15</v>
      </c>
      <c r="B818">
        <v>35</v>
      </c>
      <c r="C818">
        <v>1</v>
      </c>
      <c r="D818">
        <v>1</v>
      </c>
      <c r="E818">
        <v>0</v>
      </c>
      <c r="F818" t="s">
        <v>28</v>
      </c>
      <c r="G818" t="s">
        <v>12</v>
      </c>
      <c r="H818" t="s">
        <v>24</v>
      </c>
      <c r="I818" t="s">
        <v>14</v>
      </c>
      <c r="J818">
        <v>1</v>
      </c>
      <c r="K818" t="str">
        <f t="shared" si="12"/>
        <v>Affected</v>
      </c>
      <c r="L818" t="str" cm="1">
        <f t="array" ref="L818">_xlfn.IFS(B818&gt;60,"Older Adult(&gt;60)",B818&gt;35,"Middle-aged Adult(36-60)",B818&gt;18,"Young Adult(19-35)",B818&gt;12,"Adolescent(13-18)",B818&gt;0,"Child(&lt;13)")</f>
        <v>Young Adult(19-35)</v>
      </c>
    </row>
    <row r="819" spans="1:12">
      <c r="A819" t="s">
        <v>10</v>
      </c>
      <c r="B819">
        <v>16</v>
      </c>
      <c r="C819">
        <v>1</v>
      </c>
      <c r="D819">
        <v>1</v>
      </c>
      <c r="E819">
        <v>0</v>
      </c>
      <c r="F819" t="s">
        <v>38</v>
      </c>
      <c r="G819" t="s">
        <v>17</v>
      </c>
      <c r="H819" t="s">
        <v>24</v>
      </c>
      <c r="I819" t="s">
        <v>14</v>
      </c>
      <c r="J819">
        <v>1</v>
      </c>
      <c r="K819" t="str">
        <f t="shared" si="12"/>
        <v>Affected</v>
      </c>
      <c r="L819" t="str" cm="1">
        <f t="array" ref="L819">_xlfn.IFS(B819&gt;60,"Older Adult(&gt;60)",B819&gt;35,"Middle-aged Adult(36-60)",B819&gt;18,"Young Adult(19-35)",B819&gt;12,"Adolescent(13-18)",B819&gt;0,"Child(&lt;13)")</f>
        <v>Adolescent(13-18)</v>
      </c>
    </row>
    <row r="820" spans="1:12">
      <c r="A820" t="s">
        <v>10</v>
      </c>
      <c r="B820">
        <v>37</v>
      </c>
      <c r="C820">
        <v>0</v>
      </c>
      <c r="D820">
        <v>0</v>
      </c>
      <c r="E820">
        <v>0</v>
      </c>
      <c r="F820" t="s">
        <v>29</v>
      </c>
      <c r="G820" t="s">
        <v>12</v>
      </c>
      <c r="H820" t="s">
        <v>19</v>
      </c>
      <c r="I820" t="s">
        <v>14</v>
      </c>
      <c r="J820">
        <v>0</v>
      </c>
      <c r="K820" t="str">
        <f t="shared" si="12"/>
        <v>Not Affected</v>
      </c>
      <c r="L820" t="str" cm="1">
        <f t="array" ref="L820">_xlfn.IFS(B820&gt;60,"Older Adult(&gt;60)",B820&gt;35,"Middle-aged Adult(36-60)",B820&gt;18,"Young Adult(19-35)",B820&gt;12,"Adolescent(13-18)",B820&gt;0,"Child(&lt;13)")</f>
        <v>Middle-aged Adult(36-60)</v>
      </c>
    </row>
    <row r="821" spans="1:12">
      <c r="A821" t="s">
        <v>10</v>
      </c>
      <c r="B821">
        <v>48</v>
      </c>
      <c r="C821">
        <v>0</v>
      </c>
      <c r="D821">
        <v>0</v>
      </c>
      <c r="E821">
        <v>0</v>
      </c>
      <c r="F821" t="s">
        <v>36</v>
      </c>
      <c r="G821" t="s">
        <v>17</v>
      </c>
      <c r="H821" t="s">
        <v>19</v>
      </c>
      <c r="I821" t="s">
        <v>14</v>
      </c>
      <c r="J821">
        <v>0</v>
      </c>
      <c r="K821" t="str">
        <f t="shared" si="12"/>
        <v>Not Affected</v>
      </c>
      <c r="L821" t="str" cm="1">
        <f t="array" ref="L821">_xlfn.IFS(B821&gt;60,"Older Adult(&gt;60)",B821&gt;35,"Middle-aged Adult(36-60)",B821&gt;18,"Young Adult(19-35)",B821&gt;12,"Adolescent(13-18)",B821&gt;0,"Child(&lt;13)")</f>
        <v>Middle-aged Adult(36-60)</v>
      </c>
    </row>
    <row r="822" spans="1:12">
      <c r="A822" t="s">
        <v>15</v>
      </c>
      <c r="B822">
        <v>11</v>
      </c>
      <c r="C822">
        <v>0</v>
      </c>
      <c r="D822">
        <v>0</v>
      </c>
      <c r="E822">
        <v>0</v>
      </c>
      <c r="F822" t="s">
        <v>38</v>
      </c>
      <c r="G822" t="s">
        <v>12</v>
      </c>
      <c r="H822" t="s">
        <v>24</v>
      </c>
      <c r="I822" t="s">
        <v>14</v>
      </c>
      <c r="J822">
        <v>0</v>
      </c>
      <c r="K822" t="str">
        <f t="shared" si="12"/>
        <v>Not Affected</v>
      </c>
      <c r="L822" t="str" cm="1">
        <f t="array" ref="L822">_xlfn.IFS(B822&gt;60,"Older Adult(&gt;60)",B822&gt;35,"Middle-aged Adult(36-60)",B822&gt;18,"Young Adult(19-35)",B822&gt;12,"Adolescent(13-18)",B822&gt;0,"Child(&lt;13)")</f>
        <v>Child(&lt;13)</v>
      </c>
    </row>
    <row r="823" spans="1:12">
      <c r="A823" t="s">
        <v>15</v>
      </c>
      <c r="B823">
        <v>21</v>
      </c>
      <c r="C823">
        <v>1</v>
      </c>
      <c r="D823">
        <v>1</v>
      </c>
      <c r="E823">
        <v>1</v>
      </c>
      <c r="F823" t="s">
        <v>30</v>
      </c>
      <c r="G823" t="s">
        <v>17</v>
      </c>
      <c r="H823" t="s">
        <v>19</v>
      </c>
      <c r="I823" t="s">
        <v>14</v>
      </c>
      <c r="J823">
        <v>1</v>
      </c>
      <c r="K823" t="str">
        <f t="shared" si="12"/>
        <v>Affected</v>
      </c>
      <c r="L823" t="str" cm="1">
        <f t="array" ref="L823">_xlfn.IFS(B823&gt;60,"Older Adult(&gt;60)",B823&gt;35,"Middle-aged Adult(36-60)",B823&gt;18,"Young Adult(19-35)",B823&gt;12,"Adolescent(13-18)",B823&gt;0,"Child(&lt;13)")</f>
        <v>Young Adult(19-35)</v>
      </c>
    </row>
    <row r="824" spans="1:12">
      <c r="A824" t="s">
        <v>15</v>
      </c>
      <c r="B824">
        <v>45</v>
      </c>
      <c r="C824">
        <v>1</v>
      </c>
      <c r="D824">
        <v>1</v>
      </c>
      <c r="E824">
        <v>0</v>
      </c>
      <c r="F824" t="s">
        <v>30</v>
      </c>
      <c r="G824" t="s">
        <v>12</v>
      </c>
      <c r="H824" t="s">
        <v>19</v>
      </c>
      <c r="I824" t="s">
        <v>14</v>
      </c>
      <c r="J824">
        <v>1</v>
      </c>
      <c r="K824" t="str">
        <f t="shared" si="12"/>
        <v>Affected</v>
      </c>
      <c r="L824" t="str" cm="1">
        <f t="array" ref="L824">_xlfn.IFS(B824&gt;60,"Older Adult(&gt;60)",B824&gt;35,"Middle-aged Adult(36-60)",B824&gt;18,"Young Adult(19-35)",B824&gt;12,"Adolescent(13-18)",B824&gt;0,"Child(&lt;13)")</f>
        <v>Middle-aged Adult(36-60)</v>
      </c>
    </row>
    <row r="825" spans="1:12">
      <c r="A825" t="s">
        <v>15</v>
      </c>
      <c r="B825">
        <v>53</v>
      </c>
      <c r="C825">
        <v>0</v>
      </c>
      <c r="D825">
        <v>0</v>
      </c>
      <c r="E825">
        <v>1</v>
      </c>
      <c r="F825" t="s">
        <v>38</v>
      </c>
      <c r="G825" t="s">
        <v>17</v>
      </c>
      <c r="H825" t="s">
        <v>19</v>
      </c>
      <c r="I825" t="s">
        <v>14</v>
      </c>
      <c r="J825">
        <v>0</v>
      </c>
      <c r="K825" t="str">
        <f t="shared" si="12"/>
        <v>Not Affected</v>
      </c>
      <c r="L825" t="str" cm="1">
        <f t="array" ref="L825">_xlfn.IFS(B825&gt;60,"Older Adult(&gt;60)",B825&gt;35,"Middle-aged Adult(36-60)",B825&gt;18,"Young Adult(19-35)",B825&gt;12,"Adolescent(13-18)",B825&gt;0,"Child(&lt;13)")</f>
        <v>Middle-aged Adult(36-60)</v>
      </c>
    </row>
    <row r="826" spans="1:12">
      <c r="A826" t="s">
        <v>10</v>
      </c>
      <c r="B826">
        <v>13</v>
      </c>
      <c r="C826">
        <v>1</v>
      </c>
      <c r="D826">
        <v>1</v>
      </c>
      <c r="E826">
        <v>1</v>
      </c>
      <c r="F826" t="s">
        <v>44</v>
      </c>
      <c r="G826" t="s">
        <v>12</v>
      </c>
      <c r="H826" t="s">
        <v>24</v>
      </c>
      <c r="I826" t="s">
        <v>14</v>
      </c>
      <c r="J826">
        <v>1</v>
      </c>
      <c r="K826" t="str">
        <f t="shared" si="12"/>
        <v>Affected</v>
      </c>
      <c r="L826" t="str" cm="1">
        <f t="array" ref="L826">_xlfn.IFS(B826&gt;60,"Older Adult(&gt;60)",B826&gt;35,"Middle-aged Adult(36-60)",B826&gt;18,"Young Adult(19-35)",B826&gt;12,"Adolescent(13-18)",B826&gt;0,"Child(&lt;13)")</f>
        <v>Adolescent(13-18)</v>
      </c>
    </row>
    <row r="827" spans="1:12">
      <c r="A827" t="s">
        <v>10</v>
      </c>
      <c r="B827">
        <v>18</v>
      </c>
      <c r="C827">
        <v>0</v>
      </c>
      <c r="D827">
        <v>0</v>
      </c>
      <c r="E827">
        <v>1</v>
      </c>
      <c r="F827" t="s">
        <v>38</v>
      </c>
      <c r="G827" t="s">
        <v>17</v>
      </c>
      <c r="H827" t="s">
        <v>13</v>
      </c>
      <c r="I827" t="s">
        <v>14</v>
      </c>
      <c r="J827">
        <v>0</v>
      </c>
      <c r="K827" t="str">
        <f t="shared" si="12"/>
        <v>Not Affected</v>
      </c>
      <c r="L827" t="str" cm="1">
        <f t="array" ref="L827">_xlfn.IFS(B827&gt;60,"Older Adult(&gt;60)",B827&gt;35,"Middle-aged Adult(36-60)",B827&gt;18,"Young Adult(19-35)",B827&gt;12,"Adolescent(13-18)",B827&gt;0,"Child(&lt;13)")</f>
        <v>Adolescent(13-18)</v>
      </c>
    </row>
    <row r="828" spans="1:12">
      <c r="A828" t="s">
        <v>15</v>
      </c>
      <c r="B828">
        <v>34</v>
      </c>
      <c r="C828">
        <v>1</v>
      </c>
      <c r="D828">
        <v>1</v>
      </c>
      <c r="E828">
        <v>1</v>
      </c>
      <c r="F828" t="s">
        <v>41</v>
      </c>
      <c r="G828" t="s">
        <v>12</v>
      </c>
      <c r="H828" t="s">
        <v>19</v>
      </c>
      <c r="I828" t="s">
        <v>14</v>
      </c>
      <c r="J828">
        <v>1</v>
      </c>
      <c r="K828" t="str">
        <f t="shared" si="12"/>
        <v>Affected</v>
      </c>
      <c r="L828" t="str" cm="1">
        <f t="array" ref="L828">_xlfn.IFS(B828&gt;60,"Older Adult(&gt;60)",B828&gt;35,"Middle-aged Adult(36-60)",B828&gt;18,"Young Adult(19-35)",B828&gt;12,"Adolescent(13-18)",B828&gt;0,"Child(&lt;13)")</f>
        <v>Young Adult(19-35)</v>
      </c>
    </row>
    <row r="829" spans="1:12">
      <c r="A829" t="s">
        <v>15</v>
      </c>
      <c r="B829">
        <v>22</v>
      </c>
      <c r="C829">
        <v>0</v>
      </c>
      <c r="D829">
        <v>0</v>
      </c>
      <c r="E829">
        <v>0</v>
      </c>
      <c r="F829" t="s">
        <v>35</v>
      </c>
      <c r="G829" t="s">
        <v>17</v>
      </c>
      <c r="H829" t="s">
        <v>19</v>
      </c>
      <c r="I829" t="s">
        <v>14</v>
      </c>
      <c r="J829">
        <v>0</v>
      </c>
      <c r="K829" t="str">
        <f t="shared" si="12"/>
        <v>Not Affected</v>
      </c>
      <c r="L829" t="str" cm="1">
        <f t="array" ref="L829">_xlfn.IFS(B829&gt;60,"Older Adult(&gt;60)",B829&gt;35,"Middle-aged Adult(36-60)",B829&gt;18,"Young Adult(19-35)",B829&gt;12,"Adolescent(13-18)",B829&gt;0,"Child(&lt;13)")</f>
        <v>Young Adult(19-35)</v>
      </c>
    </row>
    <row r="830" spans="1:12">
      <c r="A830" t="s">
        <v>15</v>
      </c>
      <c r="B830">
        <v>39</v>
      </c>
      <c r="C830">
        <v>1</v>
      </c>
      <c r="D830">
        <v>1</v>
      </c>
      <c r="E830">
        <v>1</v>
      </c>
      <c r="F830" t="s">
        <v>50</v>
      </c>
      <c r="G830" t="s">
        <v>12</v>
      </c>
      <c r="H830" t="s">
        <v>19</v>
      </c>
      <c r="I830" t="s">
        <v>14</v>
      </c>
      <c r="J830">
        <v>1</v>
      </c>
      <c r="K830" t="str">
        <f t="shared" si="12"/>
        <v>Affected</v>
      </c>
      <c r="L830" t="str" cm="1">
        <f t="array" ref="L830">_xlfn.IFS(B830&gt;60,"Older Adult(&gt;60)",B830&gt;35,"Middle-aged Adult(36-60)",B830&gt;18,"Young Adult(19-35)",B830&gt;12,"Adolescent(13-18)",B830&gt;0,"Child(&lt;13)")</f>
        <v>Middle-aged Adult(36-60)</v>
      </c>
    </row>
    <row r="831" spans="1:12">
      <c r="A831" t="s">
        <v>15</v>
      </c>
      <c r="B831">
        <v>21</v>
      </c>
      <c r="C831">
        <v>0</v>
      </c>
      <c r="D831">
        <v>0</v>
      </c>
      <c r="E831">
        <v>0</v>
      </c>
      <c r="F831" t="s">
        <v>42</v>
      </c>
      <c r="G831" t="s">
        <v>17</v>
      </c>
      <c r="H831" t="s">
        <v>24</v>
      </c>
      <c r="I831" t="s">
        <v>14</v>
      </c>
      <c r="J831">
        <v>0</v>
      </c>
      <c r="K831" t="str">
        <f t="shared" si="12"/>
        <v>Not Affected</v>
      </c>
      <c r="L831" t="str" cm="1">
        <f t="array" ref="L831">_xlfn.IFS(B831&gt;60,"Older Adult(&gt;60)",B831&gt;35,"Middle-aged Adult(36-60)",B831&gt;18,"Young Adult(19-35)",B831&gt;12,"Adolescent(13-18)",B831&gt;0,"Child(&lt;13)")</f>
        <v>Young Adult(19-35)</v>
      </c>
    </row>
    <row r="832" spans="1:12">
      <c r="A832" t="s">
        <v>15</v>
      </c>
      <c r="B832">
        <v>64</v>
      </c>
      <c r="C832">
        <v>0</v>
      </c>
      <c r="D832">
        <v>0</v>
      </c>
      <c r="E832">
        <v>0</v>
      </c>
      <c r="F832" t="s">
        <v>18</v>
      </c>
      <c r="G832" t="s">
        <v>12</v>
      </c>
      <c r="H832" t="s">
        <v>13</v>
      </c>
      <c r="I832" t="s">
        <v>14</v>
      </c>
      <c r="J832">
        <v>0</v>
      </c>
      <c r="K832" t="str">
        <f t="shared" si="12"/>
        <v>Not Affected</v>
      </c>
      <c r="L832" t="str" cm="1">
        <f t="array" ref="L832">_xlfn.IFS(B832&gt;60,"Older Adult(&gt;60)",B832&gt;35,"Middle-aged Adult(36-60)",B832&gt;18,"Young Adult(19-35)",B832&gt;12,"Adolescent(13-18)",B832&gt;0,"Child(&lt;13)")</f>
        <v>Older Adult(&gt;60)</v>
      </c>
    </row>
    <row r="833" spans="1:12">
      <c r="A833" t="s">
        <v>10</v>
      </c>
      <c r="B833">
        <v>53</v>
      </c>
      <c r="C833">
        <v>0</v>
      </c>
      <c r="D833">
        <v>0</v>
      </c>
      <c r="E833">
        <v>0</v>
      </c>
      <c r="F833" t="s">
        <v>18</v>
      </c>
      <c r="G833" t="s">
        <v>17</v>
      </c>
      <c r="H833" t="s">
        <v>19</v>
      </c>
      <c r="I833" t="s">
        <v>14</v>
      </c>
      <c r="J833">
        <v>0</v>
      </c>
      <c r="K833" t="str">
        <f t="shared" si="12"/>
        <v>Not Affected</v>
      </c>
      <c r="L833" t="str" cm="1">
        <f t="array" ref="L833">_xlfn.IFS(B833&gt;60,"Older Adult(&gt;60)",B833&gt;35,"Middle-aged Adult(36-60)",B833&gt;18,"Young Adult(19-35)",B833&gt;12,"Adolescent(13-18)",B833&gt;0,"Child(&lt;13)")</f>
        <v>Middle-aged Adult(36-60)</v>
      </c>
    </row>
    <row r="834" spans="1:12">
      <c r="A834" t="s">
        <v>10</v>
      </c>
      <c r="B834">
        <v>21</v>
      </c>
      <c r="C834">
        <v>1</v>
      </c>
      <c r="D834">
        <v>1</v>
      </c>
      <c r="E834">
        <v>1</v>
      </c>
      <c r="F834" t="s">
        <v>20</v>
      </c>
      <c r="G834" t="s">
        <v>12</v>
      </c>
      <c r="H834" t="s">
        <v>13</v>
      </c>
      <c r="I834" t="s">
        <v>14</v>
      </c>
      <c r="J834">
        <v>1</v>
      </c>
      <c r="K834" t="str">
        <f t="shared" si="12"/>
        <v>Affected</v>
      </c>
      <c r="L834" t="str" cm="1">
        <f t="array" ref="L834">_xlfn.IFS(B834&gt;60,"Older Adult(&gt;60)",B834&gt;35,"Middle-aged Adult(36-60)",B834&gt;18,"Young Adult(19-35)",B834&gt;12,"Adolescent(13-18)",B834&gt;0,"Child(&lt;13)")</f>
        <v>Young Adult(19-35)</v>
      </c>
    </row>
    <row r="835" spans="1:12">
      <c r="A835" t="s">
        <v>10</v>
      </c>
      <c r="B835">
        <v>40</v>
      </c>
      <c r="C835">
        <v>1</v>
      </c>
      <c r="D835">
        <v>1</v>
      </c>
      <c r="E835">
        <v>1</v>
      </c>
      <c r="F835" t="s">
        <v>33</v>
      </c>
      <c r="G835" t="s">
        <v>17</v>
      </c>
      <c r="H835" t="s">
        <v>13</v>
      </c>
      <c r="I835" t="s">
        <v>14</v>
      </c>
      <c r="J835">
        <v>1</v>
      </c>
      <c r="K835" t="str">
        <f t="shared" ref="K835:K898" si="13">IF(J835=0, "Not Affected", "Affected")</f>
        <v>Affected</v>
      </c>
      <c r="L835" t="str" cm="1">
        <f t="array" ref="L835">_xlfn.IFS(B835&gt;60,"Older Adult(&gt;60)",B835&gt;35,"Middle-aged Adult(36-60)",B835&gt;18,"Young Adult(19-35)",B835&gt;12,"Adolescent(13-18)",B835&gt;0,"Child(&lt;13)")</f>
        <v>Middle-aged Adult(36-60)</v>
      </c>
    </row>
    <row r="836" spans="1:12">
      <c r="A836" t="s">
        <v>15</v>
      </c>
      <c r="B836">
        <v>39</v>
      </c>
      <c r="C836">
        <v>1</v>
      </c>
      <c r="D836">
        <v>1</v>
      </c>
      <c r="E836">
        <v>1</v>
      </c>
      <c r="F836" t="s">
        <v>22</v>
      </c>
      <c r="G836" t="s">
        <v>12</v>
      </c>
      <c r="H836" t="s">
        <v>13</v>
      </c>
      <c r="I836" t="s">
        <v>14</v>
      </c>
      <c r="J836">
        <v>1</v>
      </c>
      <c r="K836" t="str">
        <f t="shared" si="13"/>
        <v>Affected</v>
      </c>
      <c r="L836" t="str" cm="1">
        <f t="array" ref="L836">_xlfn.IFS(B836&gt;60,"Older Adult(&gt;60)",B836&gt;35,"Middle-aged Adult(36-60)",B836&gt;18,"Young Adult(19-35)",B836&gt;12,"Adolescent(13-18)",B836&gt;0,"Child(&lt;13)")</f>
        <v>Middle-aged Adult(36-60)</v>
      </c>
    </row>
    <row r="837" spans="1:12">
      <c r="A837" t="s">
        <v>10</v>
      </c>
      <c r="B837">
        <v>47</v>
      </c>
      <c r="C837">
        <v>1</v>
      </c>
      <c r="D837">
        <v>1</v>
      </c>
      <c r="E837">
        <v>1</v>
      </c>
      <c r="F837" t="s">
        <v>22</v>
      </c>
      <c r="G837" t="s">
        <v>17</v>
      </c>
      <c r="H837" t="s">
        <v>24</v>
      </c>
      <c r="I837" t="s">
        <v>14</v>
      </c>
      <c r="J837">
        <v>1</v>
      </c>
      <c r="K837" t="str">
        <f t="shared" si="13"/>
        <v>Affected</v>
      </c>
      <c r="L837" t="str" cm="1">
        <f t="array" ref="L837">_xlfn.IFS(B837&gt;60,"Older Adult(&gt;60)",B837&gt;35,"Middle-aged Adult(36-60)",B837&gt;18,"Young Adult(19-35)",B837&gt;12,"Adolescent(13-18)",B837&gt;0,"Child(&lt;13)")</f>
        <v>Middle-aged Adult(36-60)</v>
      </c>
    </row>
    <row r="838" spans="1:12">
      <c r="A838" t="s">
        <v>15</v>
      </c>
      <c r="B838">
        <v>52</v>
      </c>
      <c r="C838">
        <v>0</v>
      </c>
      <c r="D838">
        <v>0</v>
      </c>
      <c r="E838">
        <v>1</v>
      </c>
      <c r="F838" t="s">
        <v>28</v>
      </c>
      <c r="G838" t="s">
        <v>12</v>
      </c>
      <c r="H838" t="s">
        <v>19</v>
      </c>
      <c r="I838" t="s">
        <v>14</v>
      </c>
      <c r="J838">
        <v>0</v>
      </c>
      <c r="K838" t="str">
        <f t="shared" si="13"/>
        <v>Not Affected</v>
      </c>
      <c r="L838" t="str" cm="1">
        <f t="array" ref="L838">_xlfn.IFS(B838&gt;60,"Older Adult(&gt;60)",B838&gt;35,"Middle-aged Adult(36-60)",B838&gt;18,"Young Adult(19-35)",B838&gt;12,"Adolescent(13-18)",B838&gt;0,"Child(&lt;13)")</f>
        <v>Middle-aged Adult(36-60)</v>
      </c>
    </row>
    <row r="839" spans="1:12">
      <c r="A839" t="s">
        <v>10</v>
      </c>
      <c r="B839">
        <v>17</v>
      </c>
      <c r="C839">
        <v>1</v>
      </c>
      <c r="D839">
        <v>1</v>
      </c>
      <c r="E839">
        <v>1</v>
      </c>
      <c r="F839" t="s">
        <v>28</v>
      </c>
      <c r="G839" t="s">
        <v>17</v>
      </c>
      <c r="H839" t="s">
        <v>13</v>
      </c>
      <c r="I839" t="s">
        <v>14</v>
      </c>
      <c r="J839">
        <v>1</v>
      </c>
      <c r="K839" t="str">
        <f t="shared" si="13"/>
        <v>Affected</v>
      </c>
      <c r="L839" t="str" cm="1">
        <f t="array" ref="L839">_xlfn.IFS(B839&gt;60,"Older Adult(&gt;60)",B839&gt;35,"Middle-aged Adult(36-60)",B839&gt;18,"Young Adult(19-35)",B839&gt;12,"Adolescent(13-18)",B839&gt;0,"Child(&lt;13)")</f>
        <v>Adolescent(13-18)</v>
      </c>
    </row>
    <row r="840" spans="1:12">
      <c r="A840" t="s">
        <v>15</v>
      </c>
      <c r="B840">
        <v>65</v>
      </c>
      <c r="C840">
        <v>0</v>
      </c>
      <c r="D840">
        <v>0</v>
      </c>
      <c r="E840">
        <v>0</v>
      </c>
      <c r="F840" t="s">
        <v>31</v>
      </c>
      <c r="G840" t="s">
        <v>12</v>
      </c>
      <c r="H840" t="s">
        <v>24</v>
      </c>
      <c r="I840" t="s">
        <v>14</v>
      </c>
      <c r="J840">
        <v>0</v>
      </c>
      <c r="K840" t="str">
        <f t="shared" si="13"/>
        <v>Not Affected</v>
      </c>
      <c r="L840" t="str" cm="1">
        <f t="array" ref="L840">_xlfn.IFS(B840&gt;60,"Older Adult(&gt;60)",B840&gt;35,"Middle-aged Adult(36-60)",B840&gt;18,"Young Adult(19-35)",B840&gt;12,"Adolescent(13-18)",B840&gt;0,"Child(&lt;13)")</f>
        <v>Older Adult(&gt;60)</v>
      </c>
    </row>
    <row r="841" spans="1:12">
      <c r="A841" t="s">
        <v>15</v>
      </c>
      <c r="B841">
        <v>32</v>
      </c>
      <c r="C841">
        <v>0</v>
      </c>
      <c r="D841">
        <v>0</v>
      </c>
      <c r="E841">
        <v>1</v>
      </c>
      <c r="F841" t="s">
        <v>16</v>
      </c>
      <c r="G841" t="s">
        <v>17</v>
      </c>
      <c r="H841" t="s">
        <v>24</v>
      </c>
      <c r="I841" t="s">
        <v>14</v>
      </c>
      <c r="J841">
        <v>0</v>
      </c>
      <c r="K841" t="str">
        <f t="shared" si="13"/>
        <v>Not Affected</v>
      </c>
      <c r="L841" t="str" cm="1">
        <f t="array" ref="L841">_xlfn.IFS(B841&gt;60,"Older Adult(&gt;60)",B841&gt;35,"Middle-aged Adult(36-60)",B841&gt;18,"Young Adult(19-35)",B841&gt;12,"Adolescent(13-18)",B841&gt;0,"Child(&lt;13)")</f>
        <v>Young Adult(19-35)</v>
      </c>
    </row>
    <row r="842" spans="1:12">
      <c r="A842" t="s">
        <v>15</v>
      </c>
      <c r="B842">
        <v>8</v>
      </c>
      <c r="C842">
        <v>1</v>
      </c>
      <c r="D842">
        <v>1</v>
      </c>
      <c r="E842">
        <v>0</v>
      </c>
      <c r="F842" t="s">
        <v>44</v>
      </c>
      <c r="G842" t="s">
        <v>12</v>
      </c>
      <c r="H842" t="s">
        <v>13</v>
      </c>
      <c r="I842" t="s">
        <v>14</v>
      </c>
      <c r="J842">
        <v>1</v>
      </c>
      <c r="K842" t="str">
        <f t="shared" si="13"/>
        <v>Affected</v>
      </c>
      <c r="L842" t="str" cm="1">
        <f t="array" ref="L842">_xlfn.IFS(B842&gt;60,"Older Adult(&gt;60)",B842&gt;35,"Middle-aged Adult(36-60)",B842&gt;18,"Young Adult(19-35)",B842&gt;12,"Adolescent(13-18)",B842&gt;0,"Child(&lt;13)")</f>
        <v>Child(&lt;13)</v>
      </c>
    </row>
    <row r="843" spans="1:12">
      <c r="A843" t="s">
        <v>10</v>
      </c>
      <c r="B843">
        <v>55</v>
      </c>
      <c r="C843">
        <v>0</v>
      </c>
      <c r="D843">
        <v>0</v>
      </c>
      <c r="E843">
        <v>1</v>
      </c>
      <c r="F843" t="s">
        <v>35</v>
      </c>
      <c r="G843" t="s">
        <v>17</v>
      </c>
      <c r="H843" t="s">
        <v>13</v>
      </c>
      <c r="I843" t="s">
        <v>14</v>
      </c>
      <c r="J843">
        <v>0</v>
      </c>
      <c r="K843" t="str">
        <f t="shared" si="13"/>
        <v>Not Affected</v>
      </c>
      <c r="L843" t="str" cm="1">
        <f t="array" ref="L843">_xlfn.IFS(B843&gt;60,"Older Adult(&gt;60)",B843&gt;35,"Middle-aged Adult(36-60)",B843&gt;18,"Young Adult(19-35)",B843&gt;12,"Adolescent(13-18)",B843&gt;0,"Child(&lt;13)")</f>
        <v>Middle-aged Adult(36-60)</v>
      </c>
    </row>
    <row r="844" spans="1:12">
      <c r="A844" t="s">
        <v>15</v>
      </c>
      <c r="B844">
        <v>47</v>
      </c>
      <c r="C844">
        <v>0</v>
      </c>
      <c r="D844">
        <v>0</v>
      </c>
      <c r="E844">
        <v>0</v>
      </c>
      <c r="F844" t="s">
        <v>51</v>
      </c>
      <c r="G844" t="s">
        <v>12</v>
      </c>
      <c r="H844" t="s">
        <v>19</v>
      </c>
      <c r="I844" t="s">
        <v>14</v>
      </c>
      <c r="J844">
        <v>0</v>
      </c>
      <c r="K844" t="str">
        <f t="shared" si="13"/>
        <v>Not Affected</v>
      </c>
      <c r="L844" t="str" cm="1">
        <f t="array" ref="L844">_xlfn.IFS(B844&gt;60,"Older Adult(&gt;60)",B844&gt;35,"Middle-aged Adult(36-60)",B844&gt;18,"Young Adult(19-35)",B844&gt;12,"Adolescent(13-18)",B844&gt;0,"Child(&lt;13)")</f>
        <v>Middle-aged Adult(36-60)</v>
      </c>
    </row>
    <row r="845" spans="1:12">
      <c r="A845" t="s">
        <v>15</v>
      </c>
      <c r="B845">
        <v>47</v>
      </c>
      <c r="C845">
        <v>0</v>
      </c>
      <c r="D845">
        <v>0</v>
      </c>
      <c r="E845">
        <v>0</v>
      </c>
      <c r="F845" t="s">
        <v>32</v>
      </c>
      <c r="G845" t="s">
        <v>17</v>
      </c>
      <c r="H845" t="s">
        <v>19</v>
      </c>
      <c r="I845" t="s">
        <v>14</v>
      </c>
      <c r="J845">
        <v>0</v>
      </c>
      <c r="K845" t="str">
        <f t="shared" si="13"/>
        <v>Not Affected</v>
      </c>
      <c r="L845" t="str" cm="1">
        <f t="array" ref="L845">_xlfn.IFS(B845&gt;60,"Older Adult(&gt;60)",B845&gt;35,"Middle-aged Adult(36-60)",B845&gt;18,"Young Adult(19-35)",B845&gt;12,"Adolescent(13-18)",B845&gt;0,"Child(&lt;13)")</f>
        <v>Middle-aged Adult(36-60)</v>
      </c>
    </row>
    <row r="846" spans="1:12">
      <c r="A846" t="s">
        <v>15</v>
      </c>
      <c r="B846">
        <v>47</v>
      </c>
      <c r="C846">
        <v>0</v>
      </c>
      <c r="D846">
        <v>0</v>
      </c>
      <c r="E846">
        <v>0</v>
      </c>
      <c r="F846" t="s">
        <v>53</v>
      </c>
      <c r="G846" t="s">
        <v>12</v>
      </c>
      <c r="H846" t="s">
        <v>13</v>
      </c>
      <c r="I846" t="s">
        <v>14</v>
      </c>
      <c r="J846">
        <v>0</v>
      </c>
      <c r="K846" t="str">
        <f t="shared" si="13"/>
        <v>Not Affected</v>
      </c>
      <c r="L846" t="str" cm="1">
        <f t="array" ref="L846">_xlfn.IFS(B846&gt;60,"Older Adult(&gt;60)",B846&gt;35,"Middle-aged Adult(36-60)",B846&gt;18,"Young Adult(19-35)",B846&gt;12,"Adolescent(13-18)",B846&gt;0,"Child(&lt;13)")</f>
        <v>Middle-aged Adult(36-60)</v>
      </c>
    </row>
    <row r="847" spans="1:12">
      <c r="A847" t="s">
        <v>10</v>
      </c>
      <c r="B847">
        <v>26</v>
      </c>
      <c r="C847">
        <v>1</v>
      </c>
      <c r="D847">
        <v>1</v>
      </c>
      <c r="E847">
        <v>0</v>
      </c>
      <c r="F847" t="s">
        <v>46</v>
      </c>
      <c r="G847" t="s">
        <v>17</v>
      </c>
      <c r="H847" t="s">
        <v>19</v>
      </c>
      <c r="I847" t="s">
        <v>14</v>
      </c>
      <c r="J847">
        <v>1</v>
      </c>
      <c r="K847" t="str">
        <f t="shared" si="13"/>
        <v>Affected</v>
      </c>
      <c r="L847" t="str" cm="1">
        <f t="array" ref="L847">_xlfn.IFS(B847&gt;60,"Older Adult(&gt;60)",B847&gt;35,"Middle-aged Adult(36-60)",B847&gt;18,"Young Adult(19-35)",B847&gt;12,"Adolescent(13-18)",B847&gt;0,"Child(&lt;13)")</f>
        <v>Young Adult(19-35)</v>
      </c>
    </row>
    <row r="848" spans="1:12">
      <c r="A848" t="s">
        <v>15</v>
      </c>
      <c r="B848">
        <v>36</v>
      </c>
      <c r="C848">
        <v>0</v>
      </c>
      <c r="D848">
        <v>0</v>
      </c>
      <c r="E848">
        <v>0</v>
      </c>
      <c r="F848" t="s">
        <v>38</v>
      </c>
      <c r="G848" t="s">
        <v>12</v>
      </c>
      <c r="H848" t="s">
        <v>19</v>
      </c>
      <c r="I848" t="s">
        <v>14</v>
      </c>
      <c r="J848">
        <v>0</v>
      </c>
      <c r="K848" t="str">
        <f t="shared" si="13"/>
        <v>Not Affected</v>
      </c>
      <c r="L848" t="str" cm="1">
        <f t="array" ref="L848">_xlfn.IFS(B848&gt;60,"Older Adult(&gt;60)",B848&gt;35,"Middle-aged Adult(36-60)",B848&gt;18,"Young Adult(19-35)",B848&gt;12,"Adolescent(13-18)",B848&gt;0,"Child(&lt;13)")</f>
        <v>Middle-aged Adult(36-60)</v>
      </c>
    </row>
    <row r="849" spans="1:12">
      <c r="A849" t="s">
        <v>15</v>
      </c>
      <c r="B849">
        <v>45</v>
      </c>
      <c r="C849">
        <v>1</v>
      </c>
      <c r="D849">
        <v>1</v>
      </c>
      <c r="E849">
        <v>0</v>
      </c>
      <c r="F849" t="s">
        <v>48</v>
      </c>
      <c r="G849" t="s">
        <v>17</v>
      </c>
      <c r="H849" t="s">
        <v>13</v>
      </c>
      <c r="I849" t="s">
        <v>14</v>
      </c>
      <c r="J849">
        <v>1</v>
      </c>
      <c r="K849" t="str">
        <f t="shared" si="13"/>
        <v>Affected</v>
      </c>
      <c r="L849" t="str" cm="1">
        <f t="array" ref="L849">_xlfn.IFS(B849&gt;60,"Older Adult(&gt;60)",B849&gt;35,"Middle-aged Adult(36-60)",B849&gt;18,"Young Adult(19-35)",B849&gt;12,"Adolescent(13-18)",B849&gt;0,"Child(&lt;13)")</f>
        <v>Middle-aged Adult(36-60)</v>
      </c>
    </row>
    <row r="850" spans="1:12">
      <c r="A850" t="s">
        <v>10</v>
      </c>
      <c r="B850">
        <v>24</v>
      </c>
      <c r="C850">
        <v>0</v>
      </c>
      <c r="D850">
        <v>0</v>
      </c>
      <c r="E850">
        <v>0</v>
      </c>
      <c r="F850" t="s">
        <v>11</v>
      </c>
      <c r="G850" t="s">
        <v>12</v>
      </c>
      <c r="H850" t="s">
        <v>13</v>
      </c>
      <c r="I850" t="s">
        <v>14</v>
      </c>
      <c r="J850">
        <v>0</v>
      </c>
      <c r="K850" t="str">
        <f t="shared" si="13"/>
        <v>Not Affected</v>
      </c>
      <c r="L850" t="str" cm="1">
        <f t="array" ref="L850">_xlfn.IFS(B850&gt;60,"Older Adult(&gt;60)",B850&gt;35,"Middle-aged Adult(36-60)",B850&gt;18,"Young Adult(19-35)",B850&gt;12,"Adolescent(13-18)",B850&gt;0,"Child(&lt;13)")</f>
        <v>Young Adult(19-35)</v>
      </c>
    </row>
    <row r="851" spans="1:12">
      <c r="A851" t="s">
        <v>10</v>
      </c>
      <c r="B851">
        <v>15</v>
      </c>
      <c r="C851">
        <v>0</v>
      </c>
      <c r="D851">
        <v>0</v>
      </c>
      <c r="E851">
        <v>1</v>
      </c>
      <c r="F851" t="s">
        <v>28</v>
      </c>
      <c r="G851" t="s">
        <v>17</v>
      </c>
      <c r="H851" t="s">
        <v>13</v>
      </c>
      <c r="I851" t="s">
        <v>14</v>
      </c>
      <c r="J851">
        <v>0</v>
      </c>
      <c r="K851" t="str">
        <f t="shared" si="13"/>
        <v>Not Affected</v>
      </c>
      <c r="L851" t="str" cm="1">
        <f t="array" ref="L851">_xlfn.IFS(B851&gt;60,"Older Adult(&gt;60)",B851&gt;35,"Middle-aged Adult(36-60)",B851&gt;18,"Young Adult(19-35)",B851&gt;12,"Adolescent(13-18)",B851&gt;0,"Child(&lt;13)")</f>
        <v>Adolescent(13-18)</v>
      </c>
    </row>
    <row r="852" spans="1:12">
      <c r="A852" t="s">
        <v>15</v>
      </c>
      <c r="B852">
        <v>32</v>
      </c>
      <c r="C852">
        <v>1</v>
      </c>
      <c r="D852">
        <v>1</v>
      </c>
      <c r="E852">
        <v>0</v>
      </c>
      <c r="F852" t="s">
        <v>38</v>
      </c>
      <c r="G852" t="s">
        <v>12</v>
      </c>
      <c r="H852" t="s">
        <v>24</v>
      </c>
      <c r="I852" t="s">
        <v>14</v>
      </c>
      <c r="J852">
        <v>1</v>
      </c>
      <c r="K852" t="str">
        <f t="shared" si="13"/>
        <v>Affected</v>
      </c>
      <c r="L852" t="str" cm="1">
        <f t="array" ref="L852">_xlfn.IFS(B852&gt;60,"Older Adult(&gt;60)",B852&gt;35,"Middle-aged Adult(36-60)",B852&gt;18,"Young Adult(19-35)",B852&gt;12,"Adolescent(13-18)",B852&gt;0,"Child(&lt;13)")</f>
        <v>Young Adult(19-35)</v>
      </c>
    </row>
    <row r="853" spans="1:12">
      <c r="A853" t="s">
        <v>10</v>
      </c>
      <c r="B853">
        <v>28</v>
      </c>
      <c r="C853">
        <v>1</v>
      </c>
      <c r="D853">
        <v>1</v>
      </c>
      <c r="E853">
        <v>0</v>
      </c>
      <c r="F853" t="s">
        <v>11</v>
      </c>
      <c r="G853" t="s">
        <v>17</v>
      </c>
      <c r="H853" t="s">
        <v>24</v>
      </c>
      <c r="I853" t="s">
        <v>14</v>
      </c>
      <c r="J853">
        <v>1</v>
      </c>
      <c r="K853" t="str">
        <f t="shared" si="13"/>
        <v>Affected</v>
      </c>
      <c r="L853" t="str" cm="1">
        <f t="array" ref="L853">_xlfn.IFS(B853&gt;60,"Older Adult(&gt;60)",B853&gt;35,"Middle-aged Adult(36-60)",B853&gt;18,"Young Adult(19-35)",B853&gt;12,"Adolescent(13-18)",B853&gt;0,"Child(&lt;13)")</f>
        <v>Young Adult(19-35)</v>
      </c>
    </row>
    <row r="854" spans="1:12">
      <c r="A854" t="s">
        <v>15</v>
      </c>
      <c r="B854">
        <v>53</v>
      </c>
      <c r="C854">
        <v>1</v>
      </c>
      <c r="D854">
        <v>1</v>
      </c>
      <c r="E854">
        <v>1</v>
      </c>
      <c r="F854" t="s">
        <v>53</v>
      </c>
      <c r="G854" t="s">
        <v>12</v>
      </c>
      <c r="H854" t="s">
        <v>13</v>
      </c>
      <c r="I854" t="s">
        <v>14</v>
      </c>
      <c r="J854">
        <v>1</v>
      </c>
      <c r="K854" t="str">
        <f t="shared" si="13"/>
        <v>Affected</v>
      </c>
      <c r="L854" t="str" cm="1">
        <f t="array" ref="L854">_xlfn.IFS(B854&gt;60,"Older Adult(&gt;60)",B854&gt;35,"Middle-aged Adult(36-60)",B854&gt;18,"Young Adult(19-35)",B854&gt;12,"Adolescent(13-18)",B854&gt;0,"Child(&lt;13)")</f>
        <v>Middle-aged Adult(36-60)</v>
      </c>
    </row>
    <row r="855" spans="1:12">
      <c r="A855" t="s">
        <v>15</v>
      </c>
      <c r="B855">
        <v>58</v>
      </c>
      <c r="C855">
        <v>1</v>
      </c>
      <c r="D855">
        <v>1</v>
      </c>
      <c r="E855">
        <v>0</v>
      </c>
      <c r="F855" t="s">
        <v>16</v>
      </c>
      <c r="G855" t="s">
        <v>17</v>
      </c>
      <c r="H855" t="s">
        <v>24</v>
      </c>
      <c r="I855" t="s">
        <v>14</v>
      </c>
      <c r="J855">
        <v>1</v>
      </c>
      <c r="K855" t="str">
        <f t="shared" si="13"/>
        <v>Affected</v>
      </c>
      <c r="L855" t="str" cm="1">
        <f t="array" ref="L855">_xlfn.IFS(B855&gt;60,"Older Adult(&gt;60)",B855&gt;35,"Middle-aged Adult(36-60)",B855&gt;18,"Young Adult(19-35)",B855&gt;12,"Adolescent(13-18)",B855&gt;0,"Child(&lt;13)")</f>
        <v>Middle-aged Adult(36-60)</v>
      </c>
    </row>
    <row r="856" spans="1:12">
      <c r="A856" t="s">
        <v>10</v>
      </c>
      <c r="B856">
        <v>8</v>
      </c>
      <c r="C856">
        <v>0</v>
      </c>
      <c r="D856">
        <v>0</v>
      </c>
      <c r="E856">
        <v>1</v>
      </c>
      <c r="F856" t="s">
        <v>26</v>
      </c>
      <c r="G856" t="s">
        <v>12</v>
      </c>
      <c r="H856" t="s">
        <v>24</v>
      </c>
      <c r="I856" t="s">
        <v>14</v>
      </c>
      <c r="J856">
        <v>0</v>
      </c>
      <c r="K856" t="str">
        <f t="shared" si="13"/>
        <v>Not Affected</v>
      </c>
      <c r="L856" t="str" cm="1">
        <f t="array" ref="L856">_xlfn.IFS(B856&gt;60,"Older Adult(&gt;60)",B856&gt;35,"Middle-aged Adult(36-60)",B856&gt;18,"Young Adult(19-35)",B856&gt;12,"Adolescent(13-18)",B856&gt;0,"Child(&lt;13)")</f>
        <v>Child(&lt;13)</v>
      </c>
    </row>
    <row r="857" spans="1:12">
      <c r="A857" t="s">
        <v>15</v>
      </c>
      <c r="B857">
        <v>35</v>
      </c>
      <c r="C857">
        <v>0</v>
      </c>
      <c r="D857">
        <v>0</v>
      </c>
      <c r="E857">
        <v>1</v>
      </c>
      <c r="F857" t="s">
        <v>16</v>
      </c>
      <c r="G857" t="s">
        <v>17</v>
      </c>
      <c r="H857" t="s">
        <v>24</v>
      </c>
      <c r="I857" t="s">
        <v>14</v>
      </c>
      <c r="J857">
        <v>0</v>
      </c>
      <c r="K857" t="str">
        <f t="shared" si="13"/>
        <v>Not Affected</v>
      </c>
      <c r="L857" t="str" cm="1">
        <f t="array" ref="L857">_xlfn.IFS(B857&gt;60,"Older Adult(&gt;60)",B857&gt;35,"Middle-aged Adult(36-60)",B857&gt;18,"Young Adult(19-35)",B857&gt;12,"Adolescent(13-18)",B857&gt;0,"Child(&lt;13)")</f>
        <v>Young Adult(19-35)</v>
      </c>
    </row>
    <row r="858" spans="1:12">
      <c r="A858" t="s">
        <v>15</v>
      </c>
      <c r="B858">
        <v>44</v>
      </c>
      <c r="C858">
        <v>1</v>
      </c>
      <c r="D858">
        <v>1</v>
      </c>
      <c r="E858">
        <v>1</v>
      </c>
      <c r="F858" t="s">
        <v>49</v>
      </c>
      <c r="G858" t="s">
        <v>12</v>
      </c>
      <c r="H858" t="s">
        <v>19</v>
      </c>
      <c r="I858" t="s">
        <v>14</v>
      </c>
      <c r="J858">
        <v>1</v>
      </c>
      <c r="K858" t="str">
        <f t="shared" si="13"/>
        <v>Affected</v>
      </c>
      <c r="L858" t="str" cm="1">
        <f t="array" ref="L858">_xlfn.IFS(B858&gt;60,"Older Adult(&gt;60)",B858&gt;35,"Middle-aged Adult(36-60)",B858&gt;18,"Young Adult(19-35)",B858&gt;12,"Adolescent(13-18)",B858&gt;0,"Child(&lt;13)")</f>
        <v>Middle-aged Adult(36-60)</v>
      </c>
    </row>
    <row r="859" spans="1:12">
      <c r="A859" t="s">
        <v>10</v>
      </c>
      <c r="B859">
        <v>30</v>
      </c>
      <c r="C859">
        <v>1</v>
      </c>
      <c r="D859">
        <v>1</v>
      </c>
      <c r="E859">
        <v>1</v>
      </c>
      <c r="F859" t="s">
        <v>18</v>
      </c>
      <c r="G859" t="s">
        <v>17</v>
      </c>
      <c r="H859" t="s">
        <v>19</v>
      </c>
      <c r="I859" t="s">
        <v>14</v>
      </c>
      <c r="J859">
        <v>1</v>
      </c>
      <c r="K859" t="str">
        <f t="shared" si="13"/>
        <v>Affected</v>
      </c>
      <c r="L859" t="str" cm="1">
        <f t="array" ref="L859">_xlfn.IFS(B859&gt;60,"Older Adult(&gt;60)",B859&gt;35,"Middle-aged Adult(36-60)",B859&gt;18,"Young Adult(19-35)",B859&gt;12,"Adolescent(13-18)",B859&gt;0,"Child(&lt;13)")</f>
        <v>Young Adult(19-35)</v>
      </c>
    </row>
    <row r="860" spans="1:12">
      <c r="A860" t="s">
        <v>15</v>
      </c>
      <c r="B860">
        <v>16</v>
      </c>
      <c r="C860">
        <v>0</v>
      </c>
      <c r="D860">
        <v>0</v>
      </c>
      <c r="E860">
        <v>1</v>
      </c>
      <c r="F860" t="s">
        <v>47</v>
      </c>
      <c r="G860" t="s">
        <v>12</v>
      </c>
      <c r="H860" t="s">
        <v>19</v>
      </c>
      <c r="I860" t="s">
        <v>14</v>
      </c>
      <c r="J860">
        <v>0</v>
      </c>
      <c r="K860" t="str">
        <f t="shared" si="13"/>
        <v>Not Affected</v>
      </c>
      <c r="L860" t="str" cm="1">
        <f t="array" ref="L860">_xlfn.IFS(B860&gt;60,"Older Adult(&gt;60)",B860&gt;35,"Middle-aged Adult(36-60)",B860&gt;18,"Young Adult(19-35)",B860&gt;12,"Adolescent(13-18)",B860&gt;0,"Child(&lt;13)")</f>
        <v>Adolescent(13-18)</v>
      </c>
    </row>
    <row r="861" spans="1:12">
      <c r="A861" t="s">
        <v>15</v>
      </c>
      <c r="B861">
        <v>54</v>
      </c>
      <c r="C861">
        <v>1</v>
      </c>
      <c r="D861">
        <v>1</v>
      </c>
      <c r="E861">
        <v>1</v>
      </c>
      <c r="F861" t="s">
        <v>16</v>
      </c>
      <c r="G861" t="s">
        <v>17</v>
      </c>
      <c r="H861" t="s">
        <v>13</v>
      </c>
      <c r="I861" t="s">
        <v>14</v>
      </c>
      <c r="J861">
        <v>1</v>
      </c>
      <c r="K861" t="str">
        <f t="shared" si="13"/>
        <v>Affected</v>
      </c>
      <c r="L861" t="str" cm="1">
        <f t="array" ref="L861">_xlfn.IFS(B861&gt;60,"Older Adult(&gt;60)",B861&gt;35,"Middle-aged Adult(36-60)",B861&gt;18,"Young Adult(19-35)",B861&gt;12,"Adolescent(13-18)",B861&gt;0,"Child(&lt;13)")</f>
        <v>Middle-aged Adult(36-60)</v>
      </c>
    </row>
    <row r="862" spans="1:12">
      <c r="A862" t="s">
        <v>15</v>
      </c>
      <c r="B862">
        <v>54</v>
      </c>
      <c r="C862">
        <v>1</v>
      </c>
      <c r="D862">
        <v>1</v>
      </c>
      <c r="E862">
        <v>1</v>
      </c>
      <c r="F862" t="s">
        <v>40</v>
      </c>
      <c r="G862" t="s">
        <v>12</v>
      </c>
      <c r="H862" t="s">
        <v>24</v>
      </c>
      <c r="I862" t="s">
        <v>14</v>
      </c>
      <c r="J862">
        <v>1</v>
      </c>
      <c r="K862" t="str">
        <f t="shared" si="13"/>
        <v>Affected</v>
      </c>
      <c r="L862" t="str" cm="1">
        <f t="array" ref="L862">_xlfn.IFS(B862&gt;60,"Older Adult(&gt;60)",B862&gt;35,"Middle-aged Adult(36-60)",B862&gt;18,"Young Adult(19-35)",B862&gt;12,"Adolescent(13-18)",B862&gt;0,"Child(&lt;13)")</f>
        <v>Middle-aged Adult(36-60)</v>
      </c>
    </row>
    <row r="863" spans="1:12">
      <c r="A863" t="s">
        <v>15</v>
      </c>
      <c r="B863">
        <v>18</v>
      </c>
      <c r="C863">
        <v>1</v>
      </c>
      <c r="D863">
        <v>1</v>
      </c>
      <c r="E863">
        <v>1</v>
      </c>
      <c r="F863" t="s">
        <v>11</v>
      </c>
      <c r="G863" t="s">
        <v>17</v>
      </c>
      <c r="H863" t="s">
        <v>13</v>
      </c>
      <c r="I863" t="s">
        <v>14</v>
      </c>
      <c r="J863">
        <v>1</v>
      </c>
      <c r="K863" t="str">
        <f t="shared" si="13"/>
        <v>Affected</v>
      </c>
      <c r="L863" t="str" cm="1">
        <f t="array" ref="L863">_xlfn.IFS(B863&gt;60,"Older Adult(&gt;60)",B863&gt;35,"Middle-aged Adult(36-60)",B863&gt;18,"Young Adult(19-35)",B863&gt;12,"Adolescent(13-18)",B863&gt;0,"Child(&lt;13)")</f>
        <v>Adolescent(13-18)</v>
      </c>
    </row>
    <row r="864" spans="1:12">
      <c r="A864" t="s">
        <v>10</v>
      </c>
      <c r="B864">
        <v>19</v>
      </c>
      <c r="C864">
        <v>1</v>
      </c>
      <c r="D864">
        <v>1</v>
      </c>
      <c r="E864">
        <v>1</v>
      </c>
      <c r="F864" t="s">
        <v>43</v>
      </c>
      <c r="G864" t="s">
        <v>12</v>
      </c>
      <c r="H864" t="s">
        <v>24</v>
      </c>
      <c r="I864" t="s">
        <v>14</v>
      </c>
      <c r="J864">
        <v>1</v>
      </c>
      <c r="K864" t="str">
        <f t="shared" si="13"/>
        <v>Affected</v>
      </c>
      <c r="L864" t="str" cm="1">
        <f t="array" ref="L864">_xlfn.IFS(B864&gt;60,"Older Adult(&gt;60)",B864&gt;35,"Middle-aged Adult(36-60)",B864&gt;18,"Young Adult(19-35)",B864&gt;12,"Adolescent(13-18)",B864&gt;0,"Child(&lt;13)")</f>
        <v>Young Adult(19-35)</v>
      </c>
    </row>
    <row r="865" spans="1:12">
      <c r="A865" t="s">
        <v>10</v>
      </c>
      <c r="B865">
        <v>47</v>
      </c>
      <c r="C865">
        <v>0</v>
      </c>
      <c r="D865">
        <v>0</v>
      </c>
      <c r="E865">
        <v>1</v>
      </c>
      <c r="F865" t="s">
        <v>23</v>
      </c>
      <c r="G865" t="s">
        <v>17</v>
      </c>
      <c r="H865" t="s">
        <v>24</v>
      </c>
      <c r="I865" t="s">
        <v>14</v>
      </c>
      <c r="J865">
        <v>0</v>
      </c>
      <c r="K865" t="str">
        <f t="shared" si="13"/>
        <v>Not Affected</v>
      </c>
      <c r="L865" t="str" cm="1">
        <f t="array" ref="L865">_xlfn.IFS(B865&gt;60,"Older Adult(&gt;60)",B865&gt;35,"Middle-aged Adult(36-60)",B865&gt;18,"Young Adult(19-35)",B865&gt;12,"Adolescent(13-18)",B865&gt;0,"Child(&lt;13)")</f>
        <v>Middle-aged Adult(36-60)</v>
      </c>
    </row>
    <row r="866" spans="1:12">
      <c r="A866" t="s">
        <v>10</v>
      </c>
      <c r="B866">
        <v>38</v>
      </c>
      <c r="C866">
        <v>0</v>
      </c>
      <c r="D866">
        <v>0</v>
      </c>
      <c r="E866">
        <v>1</v>
      </c>
      <c r="F866" t="s">
        <v>23</v>
      </c>
      <c r="G866" t="s">
        <v>12</v>
      </c>
      <c r="H866" t="s">
        <v>19</v>
      </c>
      <c r="I866" t="s">
        <v>14</v>
      </c>
      <c r="J866">
        <v>0</v>
      </c>
      <c r="K866" t="str">
        <f t="shared" si="13"/>
        <v>Not Affected</v>
      </c>
      <c r="L866" t="str" cm="1">
        <f t="array" ref="L866">_xlfn.IFS(B866&gt;60,"Older Adult(&gt;60)",B866&gt;35,"Middle-aged Adult(36-60)",B866&gt;18,"Young Adult(19-35)",B866&gt;12,"Adolescent(13-18)",B866&gt;0,"Child(&lt;13)")</f>
        <v>Middle-aged Adult(36-60)</v>
      </c>
    </row>
    <row r="867" spans="1:12">
      <c r="A867" t="s">
        <v>15</v>
      </c>
      <c r="B867">
        <v>20</v>
      </c>
      <c r="C867">
        <v>0</v>
      </c>
      <c r="D867">
        <v>0</v>
      </c>
      <c r="E867">
        <v>0</v>
      </c>
      <c r="F867" t="s">
        <v>38</v>
      </c>
      <c r="G867" t="s">
        <v>17</v>
      </c>
      <c r="H867" t="s">
        <v>13</v>
      </c>
      <c r="I867" t="s">
        <v>14</v>
      </c>
      <c r="J867">
        <v>0</v>
      </c>
      <c r="K867" t="str">
        <f t="shared" si="13"/>
        <v>Not Affected</v>
      </c>
      <c r="L867" t="str" cm="1">
        <f t="array" ref="L867">_xlfn.IFS(B867&gt;60,"Older Adult(&gt;60)",B867&gt;35,"Middle-aged Adult(36-60)",B867&gt;18,"Young Adult(19-35)",B867&gt;12,"Adolescent(13-18)",B867&gt;0,"Child(&lt;13)")</f>
        <v>Young Adult(19-35)</v>
      </c>
    </row>
    <row r="868" spans="1:12">
      <c r="A868" t="s">
        <v>15</v>
      </c>
      <c r="B868">
        <v>65</v>
      </c>
      <c r="C868">
        <v>1</v>
      </c>
      <c r="D868">
        <v>1</v>
      </c>
      <c r="E868">
        <v>0</v>
      </c>
      <c r="F868" t="s">
        <v>28</v>
      </c>
      <c r="G868" t="s">
        <v>12</v>
      </c>
      <c r="H868" t="s">
        <v>24</v>
      </c>
      <c r="I868" t="s">
        <v>14</v>
      </c>
      <c r="J868">
        <v>1</v>
      </c>
      <c r="K868" t="str">
        <f t="shared" si="13"/>
        <v>Affected</v>
      </c>
      <c r="L868" t="str" cm="1">
        <f t="array" ref="L868">_xlfn.IFS(B868&gt;60,"Older Adult(&gt;60)",B868&gt;35,"Middle-aged Adult(36-60)",B868&gt;18,"Young Adult(19-35)",B868&gt;12,"Adolescent(13-18)",B868&gt;0,"Child(&lt;13)")</f>
        <v>Older Adult(&gt;60)</v>
      </c>
    </row>
    <row r="869" spans="1:12">
      <c r="A869" t="s">
        <v>10</v>
      </c>
      <c r="B869">
        <v>29</v>
      </c>
      <c r="C869">
        <v>1</v>
      </c>
      <c r="D869">
        <v>1</v>
      </c>
      <c r="E869">
        <v>0</v>
      </c>
      <c r="F869" t="s">
        <v>39</v>
      </c>
      <c r="G869" t="s">
        <v>17</v>
      </c>
      <c r="H869" t="s">
        <v>13</v>
      </c>
      <c r="I869" t="s">
        <v>14</v>
      </c>
      <c r="J869">
        <v>1</v>
      </c>
      <c r="K869" t="str">
        <f t="shared" si="13"/>
        <v>Affected</v>
      </c>
      <c r="L869" t="str" cm="1">
        <f t="array" ref="L869">_xlfn.IFS(B869&gt;60,"Older Adult(&gt;60)",B869&gt;35,"Middle-aged Adult(36-60)",B869&gt;18,"Young Adult(19-35)",B869&gt;12,"Adolescent(13-18)",B869&gt;0,"Child(&lt;13)")</f>
        <v>Young Adult(19-35)</v>
      </c>
    </row>
    <row r="870" spans="1:12">
      <c r="A870" t="s">
        <v>10</v>
      </c>
      <c r="B870">
        <v>8</v>
      </c>
      <c r="C870">
        <v>0</v>
      </c>
      <c r="D870">
        <v>0</v>
      </c>
      <c r="E870">
        <v>0</v>
      </c>
      <c r="F870" t="s">
        <v>45</v>
      </c>
      <c r="G870" t="s">
        <v>12</v>
      </c>
      <c r="H870" t="s">
        <v>13</v>
      </c>
      <c r="I870" t="s">
        <v>14</v>
      </c>
      <c r="J870">
        <v>0</v>
      </c>
      <c r="K870" t="str">
        <f t="shared" si="13"/>
        <v>Not Affected</v>
      </c>
      <c r="L870" t="str" cm="1">
        <f t="array" ref="L870">_xlfn.IFS(B870&gt;60,"Older Adult(&gt;60)",B870&gt;35,"Middle-aged Adult(36-60)",B870&gt;18,"Young Adult(19-35)",B870&gt;12,"Adolescent(13-18)",B870&gt;0,"Child(&lt;13)")</f>
        <v>Child(&lt;13)</v>
      </c>
    </row>
    <row r="871" spans="1:12">
      <c r="A871" t="s">
        <v>10</v>
      </c>
      <c r="B871">
        <v>45</v>
      </c>
      <c r="C871">
        <v>1</v>
      </c>
      <c r="D871">
        <v>1</v>
      </c>
      <c r="E871">
        <v>1</v>
      </c>
      <c r="F871" t="s">
        <v>22</v>
      </c>
      <c r="G871" t="s">
        <v>17</v>
      </c>
      <c r="H871" t="s">
        <v>13</v>
      </c>
      <c r="I871" t="s">
        <v>14</v>
      </c>
      <c r="J871">
        <v>1</v>
      </c>
      <c r="K871" t="str">
        <f t="shared" si="13"/>
        <v>Affected</v>
      </c>
      <c r="L871" t="str" cm="1">
        <f t="array" ref="L871">_xlfn.IFS(B871&gt;60,"Older Adult(&gt;60)",B871&gt;35,"Middle-aged Adult(36-60)",B871&gt;18,"Young Adult(19-35)",B871&gt;12,"Adolescent(13-18)",B871&gt;0,"Child(&lt;13)")</f>
        <v>Middle-aged Adult(36-60)</v>
      </c>
    </row>
    <row r="872" spans="1:12">
      <c r="A872" t="s">
        <v>10</v>
      </c>
      <c r="B872">
        <v>9</v>
      </c>
      <c r="C872">
        <v>1</v>
      </c>
      <c r="D872">
        <v>1</v>
      </c>
      <c r="E872">
        <v>0</v>
      </c>
      <c r="F872" t="s">
        <v>41</v>
      </c>
      <c r="G872" t="s">
        <v>12</v>
      </c>
      <c r="H872" t="s">
        <v>13</v>
      </c>
      <c r="I872" t="s">
        <v>14</v>
      </c>
      <c r="J872">
        <v>1</v>
      </c>
      <c r="K872" t="str">
        <f t="shared" si="13"/>
        <v>Affected</v>
      </c>
      <c r="L872" t="str" cm="1">
        <f t="array" ref="L872">_xlfn.IFS(B872&gt;60,"Older Adult(&gt;60)",B872&gt;35,"Middle-aged Adult(36-60)",B872&gt;18,"Young Adult(19-35)",B872&gt;12,"Adolescent(13-18)",B872&gt;0,"Child(&lt;13)")</f>
        <v>Child(&lt;13)</v>
      </c>
    </row>
    <row r="873" spans="1:12">
      <c r="A873" t="s">
        <v>15</v>
      </c>
      <c r="B873">
        <v>27</v>
      </c>
      <c r="C873">
        <v>0</v>
      </c>
      <c r="D873">
        <v>0</v>
      </c>
      <c r="E873">
        <v>0</v>
      </c>
      <c r="F873" t="s">
        <v>46</v>
      </c>
      <c r="G873" t="s">
        <v>17</v>
      </c>
      <c r="H873" t="s">
        <v>13</v>
      </c>
      <c r="I873" t="s">
        <v>14</v>
      </c>
      <c r="J873">
        <v>0</v>
      </c>
      <c r="K873" t="str">
        <f t="shared" si="13"/>
        <v>Not Affected</v>
      </c>
      <c r="L873" t="str" cm="1">
        <f t="array" ref="L873">_xlfn.IFS(B873&gt;60,"Older Adult(&gt;60)",B873&gt;35,"Middle-aged Adult(36-60)",B873&gt;18,"Young Adult(19-35)",B873&gt;12,"Adolescent(13-18)",B873&gt;0,"Child(&lt;13)")</f>
        <v>Young Adult(19-35)</v>
      </c>
    </row>
    <row r="874" spans="1:12">
      <c r="A874" t="s">
        <v>15</v>
      </c>
      <c r="B874">
        <v>59</v>
      </c>
      <c r="C874">
        <v>1</v>
      </c>
      <c r="D874">
        <v>1</v>
      </c>
      <c r="E874">
        <v>1</v>
      </c>
      <c r="F874" t="s">
        <v>49</v>
      </c>
      <c r="G874" t="s">
        <v>12</v>
      </c>
      <c r="H874" t="s">
        <v>19</v>
      </c>
      <c r="I874" t="s">
        <v>14</v>
      </c>
      <c r="J874">
        <v>1</v>
      </c>
      <c r="K874" t="str">
        <f t="shared" si="13"/>
        <v>Affected</v>
      </c>
      <c r="L874" t="str" cm="1">
        <f t="array" ref="L874">_xlfn.IFS(B874&gt;60,"Older Adult(&gt;60)",B874&gt;35,"Middle-aged Adult(36-60)",B874&gt;18,"Young Adult(19-35)",B874&gt;12,"Adolescent(13-18)",B874&gt;0,"Child(&lt;13)")</f>
        <v>Middle-aged Adult(36-60)</v>
      </c>
    </row>
    <row r="875" spans="1:12">
      <c r="A875" t="s">
        <v>10</v>
      </c>
      <c r="B875">
        <v>16</v>
      </c>
      <c r="C875">
        <v>1</v>
      </c>
      <c r="D875">
        <v>1</v>
      </c>
      <c r="E875">
        <v>0</v>
      </c>
      <c r="F875" t="s">
        <v>18</v>
      </c>
      <c r="G875" t="s">
        <v>17</v>
      </c>
      <c r="H875" t="s">
        <v>24</v>
      </c>
      <c r="I875" t="s">
        <v>14</v>
      </c>
      <c r="J875">
        <v>1</v>
      </c>
      <c r="K875" t="str">
        <f t="shared" si="13"/>
        <v>Affected</v>
      </c>
      <c r="L875" t="str" cm="1">
        <f t="array" ref="L875">_xlfn.IFS(B875&gt;60,"Older Adult(&gt;60)",B875&gt;35,"Middle-aged Adult(36-60)",B875&gt;18,"Young Adult(19-35)",B875&gt;12,"Adolescent(13-18)",B875&gt;0,"Child(&lt;13)")</f>
        <v>Adolescent(13-18)</v>
      </c>
    </row>
    <row r="876" spans="1:12">
      <c r="A876" t="s">
        <v>10</v>
      </c>
      <c r="B876">
        <v>8</v>
      </c>
      <c r="C876">
        <v>0</v>
      </c>
      <c r="D876">
        <v>0</v>
      </c>
      <c r="E876">
        <v>0</v>
      </c>
      <c r="F876" t="s">
        <v>52</v>
      </c>
      <c r="G876" t="s">
        <v>12</v>
      </c>
      <c r="H876" t="s">
        <v>19</v>
      </c>
      <c r="I876" t="s">
        <v>14</v>
      </c>
      <c r="J876">
        <v>0</v>
      </c>
      <c r="K876" t="str">
        <f t="shared" si="13"/>
        <v>Not Affected</v>
      </c>
      <c r="L876" t="str" cm="1">
        <f t="array" ref="L876">_xlfn.IFS(B876&gt;60,"Older Adult(&gt;60)",B876&gt;35,"Middle-aged Adult(36-60)",B876&gt;18,"Young Adult(19-35)",B876&gt;12,"Adolescent(13-18)",B876&gt;0,"Child(&lt;13)")</f>
        <v>Child(&lt;13)</v>
      </c>
    </row>
    <row r="877" spans="1:12">
      <c r="A877" t="s">
        <v>10</v>
      </c>
      <c r="B877">
        <v>36</v>
      </c>
      <c r="C877">
        <v>1</v>
      </c>
      <c r="D877">
        <v>1</v>
      </c>
      <c r="E877">
        <v>0</v>
      </c>
      <c r="F877" t="s">
        <v>46</v>
      </c>
      <c r="G877" t="s">
        <v>17</v>
      </c>
      <c r="H877" t="s">
        <v>24</v>
      </c>
      <c r="I877" t="s">
        <v>14</v>
      </c>
      <c r="J877">
        <v>1</v>
      </c>
      <c r="K877" t="str">
        <f t="shared" si="13"/>
        <v>Affected</v>
      </c>
      <c r="L877" t="str" cm="1">
        <f t="array" ref="L877">_xlfn.IFS(B877&gt;60,"Older Adult(&gt;60)",B877&gt;35,"Middle-aged Adult(36-60)",B877&gt;18,"Young Adult(19-35)",B877&gt;12,"Adolescent(13-18)",B877&gt;0,"Child(&lt;13)")</f>
        <v>Middle-aged Adult(36-60)</v>
      </c>
    </row>
    <row r="878" spans="1:12">
      <c r="A878" t="s">
        <v>15</v>
      </c>
      <c r="B878">
        <v>38</v>
      </c>
      <c r="C878">
        <v>0</v>
      </c>
      <c r="D878">
        <v>0</v>
      </c>
      <c r="E878">
        <v>1</v>
      </c>
      <c r="F878" t="s">
        <v>37</v>
      </c>
      <c r="G878" t="s">
        <v>12</v>
      </c>
      <c r="H878" t="s">
        <v>13</v>
      </c>
      <c r="I878" t="s">
        <v>14</v>
      </c>
      <c r="J878">
        <v>0</v>
      </c>
      <c r="K878" t="str">
        <f t="shared" si="13"/>
        <v>Not Affected</v>
      </c>
      <c r="L878" t="str" cm="1">
        <f t="array" ref="L878">_xlfn.IFS(B878&gt;60,"Older Adult(&gt;60)",B878&gt;35,"Middle-aged Adult(36-60)",B878&gt;18,"Young Adult(19-35)",B878&gt;12,"Adolescent(13-18)",B878&gt;0,"Child(&lt;13)")</f>
        <v>Middle-aged Adult(36-60)</v>
      </c>
    </row>
    <row r="879" spans="1:12">
      <c r="A879" t="s">
        <v>10</v>
      </c>
      <c r="B879">
        <v>56</v>
      </c>
      <c r="C879">
        <v>1</v>
      </c>
      <c r="D879">
        <v>1</v>
      </c>
      <c r="E879">
        <v>1</v>
      </c>
      <c r="F879" t="s">
        <v>35</v>
      </c>
      <c r="G879" t="s">
        <v>17</v>
      </c>
      <c r="H879" t="s">
        <v>13</v>
      </c>
      <c r="I879" t="s">
        <v>14</v>
      </c>
      <c r="J879">
        <v>1</v>
      </c>
      <c r="K879" t="str">
        <f t="shared" si="13"/>
        <v>Affected</v>
      </c>
      <c r="L879" t="str" cm="1">
        <f t="array" ref="L879">_xlfn.IFS(B879&gt;60,"Older Adult(&gt;60)",B879&gt;35,"Middle-aged Adult(36-60)",B879&gt;18,"Young Adult(19-35)",B879&gt;12,"Adolescent(13-18)",B879&gt;0,"Child(&lt;13)")</f>
        <v>Middle-aged Adult(36-60)</v>
      </c>
    </row>
    <row r="880" spans="1:12">
      <c r="A880" t="s">
        <v>15</v>
      </c>
      <c r="B880">
        <v>35</v>
      </c>
      <c r="C880">
        <v>1</v>
      </c>
      <c r="D880">
        <v>1</v>
      </c>
      <c r="E880">
        <v>0</v>
      </c>
      <c r="F880" t="s">
        <v>11</v>
      </c>
      <c r="G880" t="s">
        <v>12</v>
      </c>
      <c r="H880" t="s">
        <v>19</v>
      </c>
      <c r="I880" t="s">
        <v>14</v>
      </c>
      <c r="J880">
        <v>1</v>
      </c>
      <c r="K880" t="str">
        <f t="shared" si="13"/>
        <v>Affected</v>
      </c>
      <c r="L880" t="str" cm="1">
        <f t="array" ref="L880">_xlfn.IFS(B880&gt;60,"Older Adult(&gt;60)",B880&gt;35,"Middle-aged Adult(36-60)",B880&gt;18,"Young Adult(19-35)",B880&gt;12,"Adolescent(13-18)",B880&gt;0,"Child(&lt;13)")</f>
        <v>Young Adult(19-35)</v>
      </c>
    </row>
    <row r="881" spans="1:12">
      <c r="A881" t="s">
        <v>10</v>
      </c>
      <c r="B881">
        <v>18</v>
      </c>
      <c r="C881">
        <v>1</v>
      </c>
      <c r="D881">
        <v>1</v>
      </c>
      <c r="E881">
        <v>0</v>
      </c>
      <c r="F881" t="s">
        <v>48</v>
      </c>
      <c r="G881" t="s">
        <v>17</v>
      </c>
      <c r="H881" t="s">
        <v>24</v>
      </c>
      <c r="I881" t="s">
        <v>14</v>
      </c>
      <c r="J881">
        <v>1</v>
      </c>
      <c r="K881" t="str">
        <f t="shared" si="13"/>
        <v>Affected</v>
      </c>
      <c r="L881" t="str" cm="1">
        <f t="array" ref="L881">_xlfn.IFS(B881&gt;60,"Older Adult(&gt;60)",B881&gt;35,"Middle-aged Adult(36-60)",B881&gt;18,"Young Adult(19-35)",B881&gt;12,"Adolescent(13-18)",B881&gt;0,"Child(&lt;13)")</f>
        <v>Adolescent(13-18)</v>
      </c>
    </row>
    <row r="882" spans="1:12">
      <c r="A882" t="s">
        <v>10</v>
      </c>
      <c r="B882">
        <v>13</v>
      </c>
      <c r="C882">
        <v>1</v>
      </c>
      <c r="D882">
        <v>1</v>
      </c>
      <c r="E882">
        <v>0</v>
      </c>
      <c r="F882" t="s">
        <v>42</v>
      </c>
      <c r="G882" t="s">
        <v>12</v>
      </c>
      <c r="H882" t="s">
        <v>19</v>
      </c>
      <c r="I882" t="s">
        <v>14</v>
      </c>
      <c r="J882">
        <v>1</v>
      </c>
      <c r="K882" t="str">
        <f t="shared" si="13"/>
        <v>Affected</v>
      </c>
      <c r="L882" t="str" cm="1">
        <f t="array" ref="L882">_xlfn.IFS(B882&gt;60,"Older Adult(&gt;60)",B882&gt;35,"Middle-aged Adult(36-60)",B882&gt;18,"Young Adult(19-35)",B882&gt;12,"Adolescent(13-18)",B882&gt;0,"Child(&lt;13)")</f>
        <v>Adolescent(13-18)</v>
      </c>
    </row>
    <row r="883" spans="1:12">
      <c r="A883" t="s">
        <v>15</v>
      </c>
      <c r="B883">
        <v>23</v>
      </c>
      <c r="C883">
        <v>0</v>
      </c>
      <c r="D883">
        <v>1</v>
      </c>
      <c r="E883">
        <v>0</v>
      </c>
      <c r="F883" t="s">
        <v>28</v>
      </c>
      <c r="G883" t="s">
        <v>17</v>
      </c>
      <c r="H883" t="s">
        <v>13</v>
      </c>
      <c r="I883" t="s">
        <v>14</v>
      </c>
      <c r="J883">
        <v>1</v>
      </c>
      <c r="K883" t="str">
        <f t="shared" si="13"/>
        <v>Affected</v>
      </c>
      <c r="L883" t="str" cm="1">
        <f t="array" ref="L883">_xlfn.IFS(B883&gt;60,"Older Adult(&gt;60)",B883&gt;35,"Middle-aged Adult(36-60)",B883&gt;18,"Young Adult(19-35)",B883&gt;12,"Adolescent(13-18)",B883&gt;0,"Child(&lt;13)")</f>
        <v>Young Adult(19-35)</v>
      </c>
    </row>
    <row r="884" spans="1:12">
      <c r="A884" t="s">
        <v>10</v>
      </c>
      <c r="B884">
        <v>14</v>
      </c>
      <c r="C884">
        <v>1</v>
      </c>
      <c r="D884">
        <v>1</v>
      </c>
      <c r="E884">
        <v>1</v>
      </c>
      <c r="F884" t="s">
        <v>47</v>
      </c>
      <c r="G884" t="s">
        <v>12</v>
      </c>
      <c r="H884" t="s">
        <v>13</v>
      </c>
      <c r="I884" t="s">
        <v>14</v>
      </c>
      <c r="J884">
        <v>1</v>
      </c>
      <c r="K884" t="str">
        <f t="shared" si="13"/>
        <v>Affected</v>
      </c>
      <c r="L884" t="str" cm="1">
        <f t="array" ref="L884">_xlfn.IFS(B884&gt;60,"Older Adult(&gt;60)",B884&gt;35,"Middle-aged Adult(36-60)",B884&gt;18,"Young Adult(19-35)",B884&gt;12,"Adolescent(13-18)",B884&gt;0,"Child(&lt;13)")</f>
        <v>Adolescent(13-18)</v>
      </c>
    </row>
    <row r="885" spans="1:12">
      <c r="A885" t="s">
        <v>10</v>
      </c>
      <c r="B885">
        <v>21</v>
      </c>
      <c r="C885">
        <v>1</v>
      </c>
      <c r="D885">
        <v>1</v>
      </c>
      <c r="E885">
        <v>0</v>
      </c>
      <c r="F885" t="s">
        <v>31</v>
      </c>
      <c r="G885" t="s">
        <v>17</v>
      </c>
      <c r="H885" t="s">
        <v>19</v>
      </c>
      <c r="I885" t="s">
        <v>14</v>
      </c>
      <c r="J885">
        <v>1</v>
      </c>
      <c r="K885" t="str">
        <f t="shared" si="13"/>
        <v>Affected</v>
      </c>
      <c r="L885" t="str" cm="1">
        <f t="array" ref="L885">_xlfn.IFS(B885&gt;60,"Older Adult(&gt;60)",B885&gt;35,"Middle-aged Adult(36-60)",B885&gt;18,"Young Adult(19-35)",B885&gt;12,"Adolescent(13-18)",B885&gt;0,"Child(&lt;13)")</f>
        <v>Young Adult(19-35)</v>
      </c>
    </row>
    <row r="886" spans="1:12">
      <c r="A886" t="s">
        <v>15</v>
      </c>
      <c r="B886">
        <v>39</v>
      </c>
      <c r="C886">
        <v>1</v>
      </c>
      <c r="D886">
        <v>1</v>
      </c>
      <c r="E886">
        <v>1</v>
      </c>
      <c r="F886" t="s">
        <v>44</v>
      </c>
      <c r="G886" t="s">
        <v>12</v>
      </c>
      <c r="H886" t="s">
        <v>19</v>
      </c>
      <c r="I886" t="s">
        <v>14</v>
      </c>
      <c r="J886">
        <v>1</v>
      </c>
      <c r="K886" t="str">
        <f t="shared" si="13"/>
        <v>Affected</v>
      </c>
      <c r="L886" t="str" cm="1">
        <f t="array" ref="L886">_xlfn.IFS(B886&gt;60,"Older Adult(&gt;60)",B886&gt;35,"Middle-aged Adult(36-60)",B886&gt;18,"Young Adult(19-35)",B886&gt;12,"Adolescent(13-18)",B886&gt;0,"Child(&lt;13)")</f>
        <v>Middle-aged Adult(36-60)</v>
      </c>
    </row>
    <row r="887" spans="1:12">
      <c r="A887" t="s">
        <v>10</v>
      </c>
      <c r="B887">
        <v>39</v>
      </c>
      <c r="C887">
        <v>1</v>
      </c>
      <c r="D887">
        <v>1</v>
      </c>
      <c r="E887">
        <v>1</v>
      </c>
      <c r="F887" t="s">
        <v>11</v>
      </c>
      <c r="G887" t="s">
        <v>17</v>
      </c>
      <c r="H887" t="s">
        <v>13</v>
      </c>
      <c r="I887" t="s">
        <v>14</v>
      </c>
      <c r="J887">
        <v>1</v>
      </c>
      <c r="K887" t="str">
        <f t="shared" si="13"/>
        <v>Affected</v>
      </c>
      <c r="L887" t="str" cm="1">
        <f t="array" ref="L887">_xlfn.IFS(B887&gt;60,"Older Adult(&gt;60)",B887&gt;35,"Middle-aged Adult(36-60)",B887&gt;18,"Young Adult(19-35)",B887&gt;12,"Adolescent(13-18)",B887&gt;0,"Child(&lt;13)")</f>
        <v>Middle-aged Adult(36-60)</v>
      </c>
    </row>
    <row r="888" spans="1:12">
      <c r="A888" t="s">
        <v>15</v>
      </c>
      <c r="B888">
        <v>34</v>
      </c>
      <c r="C888">
        <v>0</v>
      </c>
      <c r="D888">
        <v>0</v>
      </c>
      <c r="E888">
        <v>0</v>
      </c>
      <c r="F888" t="s">
        <v>18</v>
      </c>
      <c r="G888" t="s">
        <v>12</v>
      </c>
      <c r="H888" t="s">
        <v>19</v>
      </c>
      <c r="I888" t="s">
        <v>14</v>
      </c>
      <c r="J888">
        <v>0</v>
      </c>
      <c r="K888" t="str">
        <f t="shared" si="13"/>
        <v>Not Affected</v>
      </c>
      <c r="L888" t="str" cm="1">
        <f t="array" ref="L888">_xlfn.IFS(B888&gt;60,"Older Adult(&gt;60)",B888&gt;35,"Middle-aged Adult(36-60)",B888&gt;18,"Young Adult(19-35)",B888&gt;12,"Adolescent(13-18)",B888&gt;0,"Child(&lt;13)")</f>
        <v>Young Adult(19-35)</v>
      </c>
    </row>
    <row r="889" spans="1:12">
      <c r="A889" t="s">
        <v>10</v>
      </c>
      <c r="B889">
        <v>36</v>
      </c>
      <c r="C889">
        <v>1</v>
      </c>
      <c r="D889">
        <v>1</v>
      </c>
      <c r="E889">
        <v>1</v>
      </c>
      <c r="F889" t="s">
        <v>37</v>
      </c>
      <c r="G889" t="s">
        <v>17</v>
      </c>
      <c r="H889" t="s">
        <v>13</v>
      </c>
      <c r="I889" t="s">
        <v>14</v>
      </c>
      <c r="J889">
        <v>1</v>
      </c>
      <c r="K889" t="str">
        <f t="shared" si="13"/>
        <v>Affected</v>
      </c>
      <c r="L889" t="str" cm="1">
        <f t="array" ref="L889">_xlfn.IFS(B889&gt;60,"Older Adult(&gt;60)",B889&gt;35,"Middle-aged Adult(36-60)",B889&gt;18,"Young Adult(19-35)",B889&gt;12,"Adolescent(13-18)",B889&gt;0,"Child(&lt;13)")</f>
        <v>Middle-aged Adult(36-60)</v>
      </c>
    </row>
    <row r="890" spans="1:12">
      <c r="A890" t="s">
        <v>10</v>
      </c>
      <c r="B890">
        <v>43</v>
      </c>
      <c r="C890">
        <v>0</v>
      </c>
      <c r="D890">
        <v>1</v>
      </c>
      <c r="E890">
        <v>0</v>
      </c>
      <c r="F890" t="s">
        <v>40</v>
      </c>
      <c r="G890" t="s">
        <v>12</v>
      </c>
      <c r="H890" t="s">
        <v>24</v>
      </c>
      <c r="I890" t="s">
        <v>14</v>
      </c>
      <c r="J890">
        <v>1</v>
      </c>
      <c r="K890" t="str">
        <f t="shared" si="13"/>
        <v>Affected</v>
      </c>
      <c r="L890" t="str" cm="1">
        <f t="array" ref="L890">_xlfn.IFS(B890&gt;60,"Older Adult(&gt;60)",B890&gt;35,"Middle-aged Adult(36-60)",B890&gt;18,"Young Adult(19-35)",B890&gt;12,"Adolescent(13-18)",B890&gt;0,"Child(&lt;13)")</f>
        <v>Middle-aged Adult(36-60)</v>
      </c>
    </row>
    <row r="891" spans="1:12">
      <c r="A891" t="s">
        <v>15</v>
      </c>
      <c r="B891">
        <v>39</v>
      </c>
      <c r="C891">
        <v>1</v>
      </c>
      <c r="D891">
        <v>1</v>
      </c>
      <c r="E891">
        <v>1</v>
      </c>
      <c r="F891" t="s">
        <v>36</v>
      </c>
      <c r="G891" t="s">
        <v>17</v>
      </c>
      <c r="H891" t="s">
        <v>13</v>
      </c>
      <c r="I891" t="s">
        <v>14</v>
      </c>
      <c r="J891">
        <v>1</v>
      </c>
      <c r="K891" t="str">
        <f t="shared" si="13"/>
        <v>Affected</v>
      </c>
      <c r="L891" t="str" cm="1">
        <f t="array" ref="L891">_xlfn.IFS(B891&gt;60,"Older Adult(&gt;60)",B891&gt;35,"Middle-aged Adult(36-60)",B891&gt;18,"Young Adult(19-35)",B891&gt;12,"Adolescent(13-18)",B891&gt;0,"Child(&lt;13)")</f>
        <v>Middle-aged Adult(36-60)</v>
      </c>
    </row>
    <row r="892" spans="1:12">
      <c r="A892" t="s">
        <v>10</v>
      </c>
      <c r="B892">
        <v>53</v>
      </c>
      <c r="C892">
        <v>1</v>
      </c>
      <c r="D892">
        <v>1</v>
      </c>
      <c r="E892">
        <v>1</v>
      </c>
      <c r="F892" t="s">
        <v>44</v>
      </c>
      <c r="G892" t="s">
        <v>12</v>
      </c>
      <c r="H892" t="s">
        <v>19</v>
      </c>
      <c r="I892" t="s">
        <v>14</v>
      </c>
      <c r="J892">
        <v>1</v>
      </c>
      <c r="K892" t="str">
        <f t="shared" si="13"/>
        <v>Affected</v>
      </c>
      <c r="L892" t="str" cm="1">
        <f t="array" ref="L892">_xlfn.IFS(B892&gt;60,"Older Adult(&gt;60)",B892&gt;35,"Middle-aged Adult(36-60)",B892&gt;18,"Young Adult(19-35)",B892&gt;12,"Adolescent(13-18)",B892&gt;0,"Child(&lt;13)")</f>
        <v>Middle-aged Adult(36-60)</v>
      </c>
    </row>
    <row r="893" spans="1:12">
      <c r="A893" t="s">
        <v>15</v>
      </c>
      <c r="B893">
        <v>45</v>
      </c>
      <c r="C893">
        <v>1</v>
      </c>
      <c r="D893">
        <v>1</v>
      </c>
      <c r="E893">
        <v>1</v>
      </c>
      <c r="F893" t="s">
        <v>39</v>
      </c>
      <c r="G893" t="s">
        <v>17</v>
      </c>
      <c r="H893" t="s">
        <v>24</v>
      </c>
      <c r="I893" t="s">
        <v>14</v>
      </c>
      <c r="J893">
        <v>1</v>
      </c>
      <c r="K893" t="str">
        <f t="shared" si="13"/>
        <v>Affected</v>
      </c>
      <c r="L893" t="str" cm="1">
        <f t="array" ref="L893">_xlfn.IFS(B893&gt;60,"Older Adult(&gt;60)",B893&gt;35,"Middle-aged Adult(36-60)",B893&gt;18,"Young Adult(19-35)",B893&gt;12,"Adolescent(13-18)",B893&gt;0,"Child(&lt;13)")</f>
        <v>Middle-aged Adult(36-60)</v>
      </c>
    </row>
    <row r="894" spans="1:12">
      <c r="A894" t="s">
        <v>10</v>
      </c>
      <c r="B894">
        <v>12</v>
      </c>
      <c r="C894">
        <v>0</v>
      </c>
      <c r="D894">
        <v>0</v>
      </c>
      <c r="E894">
        <v>1</v>
      </c>
      <c r="F894" t="s">
        <v>36</v>
      </c>
      <c r="G894" t="s">
        <v>12</v>
      </c>
      <c r="H894" t="s">
        <v>13</v>
      </c>
      <c r="I894" t="s">
        <v>14</v>
      </c>
      <c r="J894">
        <v>0</v>
      </c>
      <c r="K894" t="str">
        <f t="shared" si="13"/>
        <v>Not Affected</v>
      </c>
      <c r="L894" t="str" cm="1">
        <f t="array" ref="L894">_xlfn.IFS(B894&gt;60,"Older Adult(&gt;60)",B894&gt;35,"Middle-aged Adult(36-60)",B894&gt;18,"Young Adult(19-35)",B894&gt;12,"Adolescent(13-18)",B894&gt;0,"Child(&lt;13)")</f>
        <v>Child(&lt;13)</v>
      </c>
    </row>
    <row r="895" spans="1:12">
      <c r="A895" t="s">
        <v>10</v>
      </c>
      <c r="B895">
        <v>28</v>
      </c>
      <c r="C895">
        <v>1</v>
      </c>
      <c r="D895">
        <v>1</v>
      </c>
      <c r="E895">
        <v>0</v>
      </c>
      <c r="F895" t="s">
        <v>20</v>
      </c>
      <c r="G895" t="s">
        <v>17</v>
      </c>
      <c r="H895" t="s">
        <v>19</v>
      </c>
      <c r="I895" t="s">
        <v>14</v>
      </c>
      <c r="J895">
        <v>1</v>
      </c>
      <c r="K895" t="str">
        <f t="shared" si="13"/>
        <v>Affected</v>
      </c>
      <c r="L895" t="str" cm="1">
        <f t="array" ref="L895">_xlfn.IFS(B895&gt;60,"Older Adult(&gt;60)",B895&gt;35,"Middle-aged Adult(36-60)",B895&gt;18,"Young Adult(19-35)",B895&gt;12,"Adolescent(13-18)",B895&gt;0,"Child(&lt;13)")</f>
        <v>Young Adult(19-35)</v>
      </c>
    </row>
    <row r="896" spans="1:12">
      <c r="A896" t="s">
        <v>15</v>
      </c>
      <c r="B896">
        <v>14</v>
      </c>
      <c r="C896">
        <v>1</v>
      </c>
      <c r="D896">
        <v>1</v>
      </c>
      <c r="E896">
        <v>0</v>
      </c>
      <c r="F896" t="s">
        <v>41</v>
      </c>
      <c r="G896" t="s">
        <v>12</v>
      </c>
      <c r="H896" t="s">
        <v>13</v>
      </c>
      <c r="I896" t="s">
        <v>14</v>
      </c>
      <c r="J896">
        <v>1</v>
      </c>
      <c r="K896" t="str">
        <f t="shared" si="13"/>
        <v>Affected</v>
      </c>
      <c r="L896" t="str" cm="1">
        <f t="array" ref="L896">_xlfn.IFS(B896&gt;60,"Older Adult(&gt;60)",B896&gt;35,"Middle-aged Adult(36-60)",B896&gt;18,"Young Adult(19-35)",B896&gt;12,"Adolescent(13-18)",B896&gt;0,"Child(&lt;13)")</f>
        <v>Adolescent(13-18)</v>
      </c>
    </row>
    <row r="897" spans="1:12">
      <c r="A897" t="s">
        <v>15</v>
      </c>
      <c r="B897">
        <v>10</v>
      </c>
      <c r="C897">
        <v>0</v>
      </c>
      <c r="D897">
        <v>0</v>
      </c>
      <c r="E897">
        <v>0</v>
      </c>
      <c r="F897" t="s">
        <v>52</v>
      </c>
      <c r="G897" t="s">
        <v>17</v>
      </c>
      <c r="H897" t="s">
        <v>13</v>
      </c>
      <c r="I897" t="s">
        <v>14</v>
      </c>
      <c r="J897">
        <v>0</v>
      </c>
      <c r="K897" t="str">
        <f t="shared" si="13"/>
        <v>Not Affected</v>
      </c>
      <c r="L897" t="str" cm="1">
        <f t="array" ref="L897">_xlfn.IFS(B897&gt;60,"Older Adult(&gt;60)",B897&gt;35,"Middle-aged Adult(36-60)",B897&gt;18,"Young Adult(19-35)",B897&gt;12,"Adolescent(13-18)",B897&gt;0,"Child(&lt;13)")</f>
        <v>Child(&lt;13)</v>
      </c>
    </row>
    <row r="898" spans="1:12">
      <c r="A898" t="s">
        <v>15</v>
      </c>
      <c r="B898">
        <v>64</v>
      </c>
      <c r="C898">
        <v>1</v>
      </c>
      <c r="D898">
        <v>1</v>
      </c>
      <c r="E898">
        <v>0</v>
      </c>
      <c r="F898" t="s">
        <v>33</v>
      </c>
      <c r="G898" t="s">
        <v>12</v>
      </c>
      <c r="H898" t="s">
        <v>19</v>
      </c>
      <c r="I898" t="s">
        <v>14</v>
      </c>
      <c r="J898">
        <v>1</v>
      </c>
      <c r="K898" t="str">
        <f t="shared" si="13"/>
        <v>Affected</v>
      </c>
      <c r="L898" t="str" cm="1">
        <f t="array" ref="L898">_xlfn.IFS(B898&gt;60,"Older Adult(&gt;60)",B898&gt;35,"Middle-aged Adult(36-60)",B898&gt;18,"Young Adult(19-35)",B898&gt;12,"Adolescent(13-18)",B898&gt;0,"Child(&lt;13)")</f>
        <v>Older Adult(&gt;60)</v>
      </c>
    </row>
    <row r="899" spans="1:12">
      <c r="A899" t="s">
        <v>15</v>
      </c>
      <c r="B899">
        <v>8</v>
      </c>
      <c r="C899">
        <v>1</v>
      </c>
      <c r="D899">
        <v>1</v>
      </c>
      <c r="E899">
        <v>0</v>
      </c>
      <c r="F899" t="s">
        <v>33</v>
      </c>
      <c r="G899" t="s">
        <v>17</v>
      </c>
      <c r="H899" t="s">
        <v>24</v>
      </c>
      <c r="I899" t="s">
        <v>14</v>
      </c>
      <c r="J899">
        <v>1</v>
      </c>
      <c r="K899" t="str">
        <f t="shared" ref="K899:K962" si="14">IF(J899=0, "Not Affected", "Affected")</f>
        <v>Affected</v>
      </c>
      <c r="L899" t="str" cm="1">
        <f t="array" ref="L899">_xlfn.IFS(B899&gt;60,"Older Adult(&gt;60)",B899&gt;35,"Middle-aged Adult(36-60)",B899&gt;18,"Young Adult(19-35)",B899&gt;12,"Adolescent(13-18)",B899&gt;0,"Child(&lt;13)")</f>
        <v>Child(&lt;13)</v>
      </c>
    </row>
    <row r="900" spans="1:12">
      <c r="A900" t="s">
        <v>10</v>
      </c>
      <c r="B900">
        <v>43</v>
      </c>
      <c r="C900">
        <v>0</v>
      </c>
      <c r="D900">
        <v>0</v>
      </c>
      <c r="E900">
        <v>1</v>
      </c>
      <c r="F900" t="s">
        <v>41</v>
      </c>
      <c r="G900" t="s">
        <v>12</v>
      </c>
      <c r="H900" t="s">
        <v>19</v>
      </c>
      <c r="I900" t="s">
        <v>14</v>
      </c>
      <c r="J900">
        <v>0</v>
      </c>
      <c r="K900" t="str">
        <f t="shared" si="14"/>
        <v>Not Affected</v>
      </c>
      <c r="L900" t="str" cm="1">
        <f t="array" ref="L900">_xlfn.IFS(B900&gt;60,"Older Adult(&gt;60)",B900&gt;35,"Middle-aged Adult(36-60)",B900&gt;18,"Young Adult(19-35)",B900&gt;12,"Adolescent(13-18)",B900&gt;0,"Child(&lt;13)")</f>
        <v>Middle-aged Adult(36-60)</v>
      </c>
    </row>
    <row r="901" spans="1:12">
      <c r="A901" t="s">
        <v>15</v>
      </c>
      <c r="B901">
        <v>16</v>
      </c>
      <c r="C901">
        <v>0</v>
      </c>
      <c r="D901">
        <v>0</v>
      </c>
      <c r="E901">
        <v>0</v>
      </c>
      <c r="F901" t="s">
        <v>43</v>
      </c>
      <c r="G901" t="s">
        <v>17</v>
      </c>
      <c r="H901" t="s">
        <v>13</v>
      </c>
      <c r="I901" t="s">
        <v>14</v>
      </c>
      <c r="J901">
        <v>0</v>
      </c>
      <c r="K901" t="str">
        <f t="shared" si="14"/>
        <v>Not Affected</v>
      </c>
      <c r="L901" t="str" cm="1">
        <f t="array" ref="L901">_xlfn.IFS(B901&gt;60,"Older Adult(&gt;60)",B901&gt;35,"Middle-aged Adult(36-60)",B901&gt;18,"Young Adult(19-35)",B901&gt;12,"Adolescent(13-18)",B901&gt;0,"Child(&lt;13)")</f>
        <v>Adolescent(13-18)</v>
      </c>
    </row>
    <row r="902" spans="1:12">
      <c r="A902" t="s">
        <v>10</v>
      </c>
      <c r="B902">
        <v>62</v>
      </c>
      <c r="C902">
        <v>1</v>
      </c>
      <c r="D902">
        <v>1</v>
      </c>
      <c r="E902">
        <v>1</v>
      </c>
      <c r="F902" t="s">
        <v>31</v>
      </c>
      <c r="G902" t="s">
        <v>12</v>
      </c>
      <c r="H902" t="s">
        <v>24</v>
      </c>
      <c r="I902" t="s">
        <v>14</v>
      </c>
      <c r="J902">
        <v>1</v>
      </c>
      <c r="K902" t="str">
        <f t="shared" si="14"/>
        <v>Affected</v>
      </c>
      <c r="L902" t="str" cm="1">
        <f t="array" ref="L902">_xlfn.IFS(B902&gt;60,"Older Adult(&gt;60)",B902&gt;35,"Middle-aged Adult(36-60)",B902&gt;18,"Young Adult(19-35)",B902&gt;12,"Adolescent(13-18)",B902&gt;0,"Child(&lt;13)")</f>
        <v>Older Adult(&gt;60)</v>
      </c>
    </row>
    <row r="903" spans="1:12">
      <c r="A903" t="s">
        <v>10</v>
      </c>
      <c r="B903">
        <v>35</v>
      </c>
      <c r="C903">
        <v>0</v>
      </c>
      <c r="D903">
        <v>0</v>
      </c>
      <c r="E903">
        <v>0</v>
      </c>
      <c r="F903" t="s">
        <v>34</v>
      </c>
      <c r="G903" t="s">
        <v>17</v>
      </c>
      <c r="H903" t="s">
        <v>13</v>
      </c>
      <c r="I903" t="s">
        <v>14</v>
      </c>
      <c r="J903">
        <v>0</v>
      </c>
      <c r="K903" t="str">
        <f t="shared" si="14"/>
        <v>Not Affected</v>
      </c>
      <c r="L903" t="str" cm="1">
        <f t="array" ref="L903">_xlfn.IFS(B903&gt;60,"Older Adult(&gt;60)",B903&gt;35,"Middle-aged Adult(36-60)",B903&gt;18,"Young Adult(19-35)",B903&gt;12,"Adolescent(13-18)",B903&gt;0,"Child(&lt;13)")</f>
        <v>Young Adult(19-35)</v>
      </c>
    </row>
    <row r="904" spans="1:12">
      <c r="A904" t="s">
        <v>15</v>
      </c>
      <c r="B904">
        <v>36</v>
      </c>
      <c r="C904">
        <v>0</v>
      </c>
      <c r="D904">
        <v>0</v>
      </c>
      <c r="E904">
        <v>0</v>
      </c>
      <c r="F904" t="s">
        <v>16</v>
      </c>
      <c r="G904" t="s">
        <v>12</v>
      </c>
      <c r="H904" t="s">
        <v>19</v>
      </c>
      <c r="I904" t="s">
        <v>14</v>
      </c>
      <c r="J904">
        <v>0</v>
      </c>
      <c r="K904" t="str">
        <f t="shared" si="14"/>
        <v>Not Affected</v>
      </c>
      <c r="L904" t="str" cm="1">
        <f t="array" ref="L904">_xlfn.IFS(B904&gt;60,"Older Adult(&gt;60)",B904&gt;35,"Middle-aged Adult(36-60)",B904&gt;18,"Young Adult(19-35)",B904&gt;12,"Adolescent(13-18)",B904&gt;0,"Child(&lt;13)")</f>
        <v>Middle-aged Adult(36-60)</v>
      </c>
    </row>
    <row r="905" spans="1:12">
      <c r="A905" t="s">
        <v>10</v>
      </c>
      <c r="B905">
        <v>15</v>
      </c>
      <c r="C905">
        <v>1</v>
      </c>
      <c r="D905">
        <v>1</v>
      </c>
      <c r="E905">
        <v>0</v>
      </c>
      <c r="F905" t="s">
        <v>29</v>
      </c>
      <c r="G905" t="s">
        <v>17</v>
      </c>
      <c r="H905" t="s">
        <v>13</v>
      </c>
      <c r="I905" t="s">
        <v>14</v>
      </c>
      <c r="J905">
        <v>1</v>
      </c>
      <c r="K905" t="str">
        <f t="shared" si="14"/>
        <v>Affected</v>
      </c>
      <c r="L905" t="str" cm="1">
        <f t="array" ref="L905">_xlfn.IFS(B905&gt;60,"Older Adult(&gt;60)",B905&gt;35,"Middle-aged Adult(36-60)",B905&gt;18,"Young Adult(19-35)",B905&gt;12,"Adolescent(13-18)",B905&gt;0,"Child(&lt;13)")</f>
        <v>Adolescent(13-18)</v>
      </c>
    </row>
    <row r="906" spans="1:12">
      <c r="A906" t="s">
        <v>10</v>
      </c>
      <c r="B906">
        <v>11</v>
      </c>
      <c r="C906">
        <v>1</v>
      </c>
      <c r="D906">
        <v>1</v>
      </c>
      <c r="E906">
        <v>0</v>
      </c>
      <c r="F906" t="s">
        <v>33</v>
      </c>
      <c r="G906" t="s">
        <v>12</v>
      </c>
      <c r="H906" t="s">
        <v>13</v>
      </c>
      <c r="I906" t="s">
        <v>14</v>
      </c>
      <c r="J906">
        <v>1</v>
      </c>
      <c r="K906" t="str">
        <f t="shared" si="14"/>
        <v>Affected</v>
      </c>
      <c r="L906" t="str" cm="1">
        <f t="array" ref="L906">_xlfn.IFS(B906&gt;60,"Older Adult(&gt;60)",B906&gt;35,"Middle-aged Adult(36-60)",B906&gt;18,"Young Adult(19-35)",B906&gt;12,"Adolescent(13-18)",B906&gt;0,"Child(&lt;13)")</f>
        <v>Child(&lt;13)</v>
      </c>
    </row>
    <row r="907" spans="1:12">
      <c r="A907" t="s">
        <v>15</v>
      </c>
      <c r="B907">
        <v>27</v>
      </c>
      <c r="C907">
        <v>1</v>
      </c>
      <c r="D907">
        <v>1</v>
      </c>
      <c r="E907">
        <v>0</v>
      </c>
      <c r="F907" t="s">
        <v>41</v>
      </c>
      <c r="G907" t="s">
        <v>17</v>
      </c>
      <c r="H907" t="s">
        <v>19</v>
      </c>
      <c r="I907" t="s">
        <v>14</v>
      </c>
      <c r="J907">
        <v>1</v>
      </c>
      <c r="K907" t="str">
        <f t="shared" si="14"/>
        <v>Affected</v>
      </c>
      <c r="L907" t="str" cm="1">
        <f t="array" ref="L907">_xlfn.IFS(B907&gt;60,"Older Adult(&gt;60)",B907&gt;35,"Middle-aged Adult(36-60)",B907&gt;18,"Young Adult(19-35)",B907&gt;12,"Adolescent(13-18)",B907&gt;0,"Child(&lt;13)")</f>
        <v>Young Adult(19-35)</v>
      </c>
    </row>
    <row r="908" spans="1:12">
      <c r="A908" t="s">
        <v>15</v>
      </c>
      <c r="B908">
        <v>20</v>
      </c>
      <c r="C908">
        <v>0</v>
      </c>
      <c r="D908">
        <v>0</v>
      </c>
      <c r="E908">
        <v>0</v>
      </c>
      <c r="F908" t="s">
        <v>29</v>
      </c>
      <c r="G908" t="s">
        <v>12</v>
      </c>
      <c r="H908" t="s">
        <v>19</v>
      </c>
      <c r="I908" t="s">
        <v>14</v>
      </c>
      <c r="J908">
        <v>0</v>
      </c>
      <c r="K908" t="str">
        <f t="shared" si="14"/>
        <v>Not Affected</v>
      </c>
      <c r="L908" t="str" cm="1">
        <f t="array" ref="L908">_xlfn.IFS(B908&gt;60,"Older Adult(&gt;60)",B908&gt;35,"Middle-aged Adult(36-60)",B908&gt;18,"Young Adult(19-35)",B908&gt;12,"Adolescent(13-18)",B908&gt;0,"Child(&lt;13)")</f>
        <v>Young Adult(19-35)</v>
      </c>
    </row>
    <row r="909" spans="1:12">
      <c r="A909" t="s">
        <v>15</v>
      </c>
      <c r="B909">
        <v>28</v>
      </c>
      <c r="C909">
        <v>1</v>
      </c>
      <c r="D909">
        <v>1</v>
      </c>
      <c r="E909">
        <v>0</v>
      </c>
      <c r="F909" t="s">
        <v>30</v>
      </c>
      <c r="G909" t="s">
        <v>17</v>
      </c>
      <c r="H909" t="s">
        <v>24</v>
      </c>
      <c r="I909" t="s">
        <v>14</v>
      </c>
      <c r="J909">
        <v>1</v>
      </c>
      <c r="K909" t="str">
        <f t="shared" si="14"/>
        <v>Affected</v>
      </c>
      <c r="L909" t="str" cm="1">
        <f t="array" ref="L909">_xlfn.IFS(B909&gt;60,"Older Adult(&gt;60)",B909&gt;35,"Middle-aged Adult(36-60)",B909&gt;18,"Young Adult(19-35)",B909&gt;12,"Adolescent(13-18)",B909&gt;0,"Child(&lt;13)")</f>
        <v>Young Adult(19-35)</v>
      </c>
    </row>
    <row r="910" spans="1:12">
      <c r="A910" t="s">
        <v>15</v>
      </c>
      <c r="B910">
        <v>60</v>
      </c>
      <c r="C910">
        <v>1</v>
      </c>
      <c r="D910">
        <v>1</v>
      </c>
      <c r="E910">
        <v>0</v>
      </c>
      <c r="F910" t="s">
        <v>16</v>
      </c>
      <c r="G910" t="s">
        <v>12</v>
      </c>
      <c r="H910" t="s">
        <v>19</v>
      </c>
      <c r="I910" t="s">
        <v>14</v>
      </c>
      <c r="J910">
        <v>1</v>
      </c>
      <c r="K910" t="str">
        <f t="shared" si="14"/>
        <v>Affected</v>
      </c>
      <c r="L910" t="str" cm="1">
        <f t="array" ref="L910">_xlfn.IFS(B910&gt;60,"Older Adult(&gt;60)",B910&gt;35,"Middle-aged Adult(36-60)",B910&gt;18,"Young Adult(19-35)",B910&gt;12,"Adolescent(13-18)",B910&gt;0,"Child(&lt;13)")</f>
        <v>Middle-aged Adult(36-60)</v>
      </c>
    </row>
    <row r="911" spans="1:12">
      <c r="A911" t="s">
        <v>15</v>
      </c>
      <c r="B911">
        <v>10</v>
      </c>
      <c r="C911">
        <v>1</v>
      </c>
      <c r="D911">
        <v>1</v>
      </c>
      <c r="E911">
        <v>1</v>
      </c>
      <c r="F911" t="s">
        <v>48</v>
      </c>
      <c r="G911" t="s">
        <v>17</v>
      </c>
      <c r="H911" t="s">
        <v>19</v>
      </c>
      <c r="I911" t="s">
        <v>14</v>
      </c>
      <c r="J911">
        <v>1</v>
      </c>
      <c r="K911" t="str">
        <f t="shared" si="14"/>
        <v>Affected</v>
      </c>
      <c r="L911" t="str" cm="1">
        <f t="array" ref="L911">_xlfn.IFS(B911&gt;60,"Older Adult(&gt;60)",B911&gt;35,"Middle-aged Adult(36-60)",B911&gt;18,"Young Adult(19-35)",B911&gt;12,"Adolescent(13-18)",B911&gt;0,"Child(&lt;13)")</f>
        <v>Child(&lt;13)</v>
      </c>
    </row>
    <row r="912" spans="1:12">
      <c r="A912" t="s">
        <v>10</v>
      </c>
      <c r="B912">
        <v>39</v>
      </c>
      <c r="C912">
        <v>0</v>
      </c>
      <c r="D912">
        <v>0</v>
      </c>
      <c r="E912">
        <v>1</v>
      </c>
      <c r="F912" t="s">
        <v>47</v>
      </c>
      <c r="G912" t="s">
        <v>12</v>
      </c>
      <c r="H912" t="s">
        <v>24</v>
      </c>
      <c r="I912" t="s">
        <v>14</v>
      </c>
      <c r="J912">
        <v>0</v>
      </c>
      <c r="K912" t="str">
        <f t="shared" si="14"/>
        <v>Not Affected</v>
      </c>
      <c r="L912" t="str" cm="1">
        <f t="array" ref="L912">_xlfn.IFS(B912&gt;60,"Older Adult(&gt;60)",B912&gt;35,"Middle-aged Adult(36-60)",B912&gt;18,"Young Adult(19-35)",B912&gt;12,"Adolescent(13-18)",B912&gt;0,"Child(&lt;13)")</f>
        <v>Middle-aged Adult(36-60)</v>
      </c>
    </row>
    <row r="913" spans="1:12">
      <c r="A913" t="s">
        <v>15</v>
      </c>
      <c r="B913">
        <v>52</v>
      </c>
      <c r="C913">
        <v>0</v>
      </c>
      <c r="D913">
        <v>0</v>
      </c>
      <c r="E913">
        <v>1</v>
      </c>
      <c r="F913" t="s">
        <v>52</v>
      </c>
      <c r="G913" t="s">
        <v>17</v>
      </c>
      <c r="H913" t="s">
        <v>24</v>
      </c>
      <c r="I913" t="s">
        <v>14</v>
      </c>
      <c r="J913">
        <v>0</v>
      </c>
      <c r="K913" t="str">
        <f t="shared" si="14"/>
        <v>Not Affected</v>
      </c>
      <c r="L913" t="str" cm="1">
        <f t="array" ref="L913">_xlfn.IFS(B913&gt;60,"Older Adult(&gt;60)",B913&gt;35,"Middle-aged Adult(36-60)",B913&gt;18,"Young Adult(19-35)",B913&gt;12,"Adolescent(13-18)",B913&gt;0,"Child(&lt;13)")</f>
        <v>Middle-aged Adult(36-60)</v>
      </c>
    </row>
    <row r="914" spans="1:12">
      <c r="A914" t="s">
        <v>10</v>
      </c>
      <c r="B914">
        <v>36</v>
      </c>
      <c r="C914">
        <v>1</v>
      </c>
      <c r="D914">
        <v>1</v>
      </c>
      <c r="E914">
        <v>0</v>
      </c>
      <c r="F914" t="s">
        <v>48</v>
      </c>
      <c r="G914" t="s">
        <v>12</v>
      </c>
      <c r="H914" t="s">
        <v>24</v>
      </c>
      <c r="I914" t="s">
        <v>14</v>
      </c>
      <c r="J914">
        <v>1</v>
      </c>
      <c r="K914" t="str">
        <f t="shared" si="14"/>
        <v>Affected</v>
      </c>
      <c r="L914" t="str" cm="1">
        <f t="array" ref="L914">_xlfn.IFS(B914&gt;60,"Older Adult(&gt;60)",B914&gt;35,"Middle-aged Adult(36-60)",B914&gt;18,"Young Adult(19-35)",B914&gt;12,"Adolescent(13-18)",B914&gt;0,"Child(&lt;13)")</f>
        <v>Middle-aged Adult(36-60)</v>
      </c>
    </row>
    <row r="915" spans="1:12">
      <c r="A915" t="s">
        <v>10</v>
      </c>
      <c r="B915">
        <v>39</v>
      </c>
      <c r="C915">
        <v>0</v>
      </c>
      <c r="D915">
        <v>0</v>
      </c>
      <c r="E915">
        <v>0</v>
      </c>
      <c r="F915" t="s">
        <v>51</v>
      </c>
      <c r="G915" t="s">
        <v>17</v>
      </c>
      <c r="H915" t="s">
        <v>13</v>
      </c>
      <c r="I915" t="s">
        <v>14</v>
      </c>
      <c r="J915">
        <v>0</v>
      </c>
      <c r="K915" t="str">
        <f t="shared" si="14"/>
        <v>Not Affected</v>
      </c>
      <c r="L915" t="str" cm="1">
        <f t="array" ref="L915">_xlfn.IFS(B915&gt;60,"Older Adult(&gt;60)",B915&gt;35,"Middle-aged Adult(36-60)",B915&gt;18,"Young Adult(19-35)",B915&gt;12,"Adolescent(13-18)",B915&gt;0,"Child(&lt;13)")</f>
        <v>Middle-aged Adult(36-60)</v>
      </c>
    </row>
    <row r="916" spans="1:12">
      <c r="A916" t="s">
        <v>15</v>
      </c>
      <c r="B916">
        <v>13</v>
      </c>
      <c r="C916">
        <v>0</v>
      </c>
      <c r="D916">
        <v>0</v>
      </c>
      <c r="E916">
        <v>1</v>
      </c>
      <c r="F916" t="s">
        <v>45</v>
      </c>
      <c r="G916" t="s">
        <v>12</v>
      </c>
      <c r="H916" t="s">
        <v>19</v>
      </c>
      <c r="I916" t="s">
        <v>14</v>
      </c>
      <c r="J916">
        <v>0</v>
      </c>
      <c r="K916" t="str">
        <f t="shared" si="14"/>
        <v>Not Affected</v>
      </c>
      <c r="L916" t="str" cm="1">
        <f t="array" ref="L916">_xlfn.IFS(B916&gt;60,"Older Adult(&gt;60)",B916&gt;35,"Middle-aged Adult(36-60)",B916&gt;18,"Young Adult(19-35)",B916&gt;12,"Adolescent(13-18)",B916&gt;0,"Child(&lt;13)")</f>
        <v>Adolescent(13-18)</v>
      </c>
    </row>
    <row r="917" spans="1:12">
      <c r="A917" t="s">
        <v>10</v>
      </c>
      <c r="B917">
        <v>42</v>
      </c>
      <c r="C917">
        <v>0</v>
      </c>
      <c r="D917">
        <v>0</v>
      </c>
      <c r="E917">
        <v>0</v>
      </c>
      <c r="F917" t="s">
        <v>11</v>
      </c>
      <c r="G917" t="s">
        <v>17</v>
      </c>
      <c r="H917" t="s">
        <v>24</v>
      </c>
      <c r="I917" t="s">
        <v>14</v>
      </c>
      <c r="J917">
        <v>0</v>
      </c>
      <c r="K917" t="str">
        <f t="shared" si="14"/>
        <v>Not Affected</v>
      </c>
      <c r="L917" t="str" cm="1">
        <f t="array" ref="L917">_xlfn.IFS(B917&gt;60,"Older Adult(&gt;60)",B917&gt;35,"Middle-aged Adult(36-60)",B917&gt;18,"Young Adult(19-35)",B917&gt;12,"Adolescent(13-18)",B917&gt;0,"Child(&lt;13)")</f>
        <v>Middle-aged Adult(36-60)</v>
      </c>
    </row>
    <row r="918" spans="1:12">
      <c r="A918" t="s">
        <v>15</v>
      </c>
      <c r="B918">
        <v>30</v>
      </c>
      <c r="C918">
        <v>1</v>
      </c>
      <c r="D918">
        <v>1</v>
      </c>
      <c r="E918">
        <v>1</v>
      </c>
      <c r="F918" t="s">
        <v>44</v>
      </c>
      <c r="G918" t="s">
        <v>12</v>
      </c>
      <c r="H918" t="s">
        <v>13</v>
      </c>
      <c r="I918" t="s">
        <v>14</v>
      </c>
      <c r="J918">
        <v>1</v>
      </c>
      <c r="K918" t="str">
        <f t="shared" si="14"/>
        <v>Affected</v>
      </c>
      <c r="L918" t="str" cm="1">
        <f t="array" ref="L918">_xlfn.IFS(B918&gt;60,"Older Adult(&gt;60)",B918&gt;35,"Middle-aged Adult(36-60)",B918&gt;18,"Young Adult(19-35)",B918&gt;12,"Adolescent(13-18)",B918&gt;0,"Child(&lt;13)")</f>
        <v>Young Adult(19-35)</v>
      </c>
    </row>
    <row r="919" spans="1:12">
      <c r="A919" t="s">
        <v>15</v>
      </c>
      <c r="B919">
        <v>33</v>
      </c>
      <c r="C919">
        <v>0</v>
      </c>
      <c r="D919">
        <v>0</v>
      </c>
      <c r="E919">
        <v>0</v>
      </c>
      <c r="F919" t="s">
        <v>41</v>
      </c>
      <c r="G919" t="s">
        <v>17</v>
      </c>
      <c r="H919" t="s">
        <v>24</v>
      </c>
      <c r="I919" t="s">
        <v>14</v>
      </c>
      <c r="J919">
        <v>0</v>
      </c>
      <c r="K919" t="str">
        <f t="shared" si="14"/>
        <v>Not Affected</v>
      </c>
      <c r="L919" t="str" cm="1">
        <f t="array" ref="L919">_xlfn.IFS(B919&gt;60,"Older Adult(&gt;60)",B919&gt;35,"Middle-aged Adult(36-60)",B919&gt;18,"Young Adult(19-35)",B919&gt;12,"Adolescent(13-18)",B919&gt;0,"Child(&lt;13)")</f>
        <v>Young Adult(19-35)</v>
      </c>
    </row>
    <row r="920" spans="1:12">
      <c r="A920" t="s">
        <v>10</v>
      </c>
      <c r="B920">
        <v>61</v>
      </c>
      <c r="C920">
        <v>1</v>
      </c>
      <c r="D920">
        <v>1</v>
      </c>
      <c r="E920">
        <v>1</v>
      </c>
      <c r="F920" t="s">
        <v>36</v>
      </c>
      <c r="G920" t="s">
        <v>12</v>
      </c>
      <c r="H920" t="s">
        <v>13</v>
      </c>
      <c r="I920" t="s">
        <v>14</v>
      </c>
      <c r="J920">
        <v>1</v>
      </c>
      <c r="K920" t="str">
        <f t="shared" si="14"/>
        <v>Affected</v>
      </c>
      <c r="L920" t="str" cm="1">
        <f t="array" ref="L920">_xlfn.IFS(B920&gt;60,"Older Adult(&gt;60)",B920&gt;35,"Middle-aged Adult(36-60)",B920&gt;18,"Young Adult(19-35)",B920&gt;12,"Adolescent(13-18)",B920&gt;0,"Child(&lt;13)")</f>
        <v>Older Adult(&gt;60)</v>
      </c>
    </row>
    <row r="921" spans="1:12">
      <c r="A921" t="s">
        <v>10</v>
      </c>
      <c r="B921">
        <v>47</v>
      </c>
      <c r="C921">
        <v>1</v>
      </c>
      <c r="D921">
        <v>1</v>
      </c>
      <c r="E921">
        <v>1</v>
      </c>
      <c r="F921" t="s">
        <v>23</v>
      </c>
      <c r="G921" t="s">
        <v>17</v>
      </c>
      <c r="H921" t="s">
        <v>13</v>
      </c>
      <c r="I921" t="s">
        <v>14</v>
      </c>
      <c r="J921">
        <v>1</v>
      </c>
      <c r="K921" t="str">
        <f t="shared" si="14"/>
        <v>Affected</v>
      </c>
      <c r="L921" t="str" cm="1">
        <f t="array" ref="L921">_xlfn.IFS(B921&gt;60,"Older Adult(&gt;60)",B921&gt;35,"Middle-aged Adult(36-60)",B921&gt;18,"Young Adult(19-35)",B921&gt;12,"Adolescent(13-18)",B921&gt;0,"Child(&lt;13)")</f>
        <v>Middle-aged Adult(36-60)</v>
      </c>
    </row>
    <row r="922" spans="1:12">
      <c r="A922" t="s">
        <v>10</v>
      </c>
      <c r="B922">
        <v>52</v>
      </c>
      <c r="C922">
        <v>0</v>
      </c>
      <c r="D922">
        <v>0</v>
      </c>
      <c r="E922">
        <v>1</v>
      </c>
      <c r="F922" t="s">
        <v>47</v>
      </c>
      <c r="G922" t="s">
        <v>12</v>
      </c>
      <c r="H922" t="s">
        <v>19</v>
      </c>
      <c r="I922" t="s">
        <v>14</v>
      </c>
      <c r="J922">
        <v>0</v>
      </c>
      <c r="K922" t="str">
        <f t="shared" si="14"/>
        <v>Not Affected</v>
      </c>
      <c r="L922" t="str" cm="1">
        <f t="array" ref="L922">_xlfn.IFS(B922&gt;60,"Older Adult(&gt;60)",B922&gt;35,"Middle-aged Adult(36-60)",B922&gt;18,"Young Adult(19-35)",B922&gt;12,"Adolescent(13-18)",B922&gt;0,"Child(&lt;13)")</f>
        <v>Middle-aged Adult(36-60)</v>
      </c>
    </row>
    <row r="923" spans="1:12">
      <c r="A923" t="s">
        <v>15</v>
      </c>
      <c r="B923">
        <v>59</v>
      </c>
      <c r="C923">
        <v>0</v>
      </c>
      <c r="D923">
        <v>0</v>
      </c>
      <c r="E923">
        <v>1</v>
      </c>
      <c r="F923" t="s">
        <v>53</v>
      </c>
      <c r="G923" t="s">
        <v>17</v>
      </c>
      <c r="H923" t="s">
        <v>13</v>
      </c>
      <c r="I923" t="s">
        <v>14</v>
      </c>
      <c r="J923">
        <v>0</v>
      </c>
      <c r="K923" t="str">
        <f t="shared" si="14"/>
        <v>Not Affected</v>
      </c>
      <c r="L923" t="str" cm="1">
        <f t="array" ref="L923">_xlfn.IFS(B923&gt;60,"Older Adult(&gt;60)",B923&gt;35,"Middle-aged Adult(36-60)",B923&gt;18,"Young Adult(19-35)",B923&gt;12,"Adolescent(13-18)",B923&gt;0,"Child(&lt;13)")</f>
        <v>Middle-aged Adult(36-60)</v>
      </c>
    </row>
    <row r="924" spans="1:12">
      <c r="A924" t="s">
        <v>10</v>
      </c>
      <c r="B924">
        <v>29</v>
      </c>
      <c r="C924">
        <v>0</v>
      </c>
      <c r="D924">
        <v>0</v>
      </c>
      <c r="E924">
        <v>0</v>
      </c>
      <c r="F924" t="s">
        <v>45</v>
      </c>
      <c r="G924" t="s">
        <v>12</v>
      </c>
      <c r="H924" t="s">
        <v>13</v>
      </c>
      <c r="I924" t="s">
        <v>14</v>
      </c>
      <c r="J924">
        <v>0</v>
      </c>
      <c r="K924" t="str">
        <f t="shared" si="14"/>
        <v>Not Affected</v>
      </c>
      <c r="L924" t="str" cm="1">
        <f t="array" ref="L924">_xlfn.IFS(B924&gt;60,"Older Adult(&gt;60)",B924&gt;35,"Middle-aged Adult(36-60)",B924&gt;18,"Young Adult(19-35)",B924&gt;12,"Adolescent(13-18)",B924&gt;0,"Child(&lt;13)")</f>
        <v>Young Adult(19-35)</v>
      </c>
    </row>
    <row r="925" spans="1:12">
      <c r="A925" t="s">
        <v>10</v>
      </c>
      <c r="B925">
        <v>50</v>
      </c>
      <c r="C925">
        <v>1</v>
      </c>
      <c r="D925">
        <v>1</v>
      </c>
      <c r="E925">
        <v>1</v>
      </c>
      <c r="F925" t="s">
        <v>39</v>
      </c>
      <c r="G925" t="s">
        <v>17</v>
      </c>
      <c r="H925" t="s">
        <v>24</v>
      </c>
      <c r="I925" t="s">
        <v>14</v>
      </c>
      <c r="J925">
        <v>1</v>
      </c>
      <c r="K925" t="str">
        <f t="shared" si="14"/>
        <v>Affected</v>
      </c>
      <c r="L925" t="str" cm="1">
        <f t="array" ref="L925">_xlfn.IFS(B925&gt;60,"Older Adult(&gt;60)",B925&gt;35,"Middle-aged Adult(36-60)",B925&gt;18,"Young Adult(19-35)",B925&gt;12,"Adolescent(13-18)",B925&gt;0,"Child(&lt;13)")</f>
        <v>Middle-aged Adult(36-60)</v>
      </c>
    </row>
    <row r="926" spans="1:12">
      <c r="A926" t="s">
        <v>10</v>
      </c>
      <c r="B926">
        <v>56</v>
      </c>
      <c r="C926">
        <v>1</v>
      </c>
      <c r="D926">
        <v>1</v>
      </c>
      <c r="E926">
        <v>0</v>
      </c>
      <c r="F926" t="s">
        <v>45</v>
      </c>
      <c r="G926" t="s">
        <v>12</v>
      </c>
      <c r="H926" t="s">
        <v>13</v>
      </c>
      <c r="I926" t="s">
        <v>14</v>
      </c>
      <c r="J926">
        <v>1</v>
      </c>
      <c r="K926" t="str">
        <f t="shared" si="14"/>
        <v>Affected</v>
      </c>
      <c r="L926" t="str" cm="1">
        <f t="array" ref="L926">_xlfn.IFS(B926&gt;60,"Older Adult(&gt;60)",B926&gt;35,"Middle-aged Adult(36-60)",B926&gt;18,"Young Adult(19-35)",B926&gt;12,"Adolescent(13-18)",B926&gt;0,"Child(&lt;13)")</f>
        <v>Middle-aged Adult(36-60)</v>
      </c>
    </row>
    <row r="927" spans="1:12">
      <c r="A927" t="s">
        <v>15</v>
      </c>
      <c r="B927">
        <v>55</v>
      </c>
      <c r="C927">
        <v>1</v>
      </c>
      <c r="D927">
        <v>1</v>
      </c>
      <c r="E927">
        <v>0</v>
      </c>
      <c r="F927" t="s">
        <v>42</v>
      </c>
      <c r="G927" t="s">
        <v>17</v>
      </c>
      <c r="H927" t="s">
        <v>13</v>
      </c>
      <c r="I927" t="s">
        <v>14</v>
      </c>
      <c r="J927">
        <v>1</v>
      </c>
      <c r="K927" t="str">
        <f t="shared" si="14"/>
        <v>Affected</v>
      </c>
      <c r="L927" t="str" cm="1">
        <f t="array" ref="L927">_xlfn.IFS(B927&gt;60,"Older Adult(&gt;60)",B927&gt;35,"Middle-aged Adult(36-60)",B927&gt;18,"Young Adult(19-35)",B927&gt;12,"Adolescent(13-18)",B927&gt;0,"Child(&lt;13)")</f>
        <v>Middle-aged Adult(36-60)</v>
      </c>
    </row>
    <row r="928" spans="1:12">
      <c r="A928" t="s">
        <v>10</v>
      </c>
      <c r="B928">
        <v>44</v>
      </c>
      <c r="C928">
        <v>1</v>
      </c>
      <c r="D928">
        <v>1</v>
      </c>
      <c r="E928">
        <v>1</v>
      </c>
      <c r="F928" t="s">
        <v>34</v>
      </c>
      <c r="G928" t="s">
        <v>12</v>
      </c>
      <c r="H928" t="s">
        <v>13</v>
      </c>
      <c r="I928" t="s">
        <v>14</v>
      </c>
      <c r="J928">
        <v>1</v>
      </c>
      <c r="K928" t="str">
        <f t="shared" si="14"/>
        <v>Affected</v>
      </c>
      <c r="L928" t="str" cm="1">
        <f t="array" ref="L928">_xlfn.IFS(B928&gt;60,"Older Adult(&gt;60)",B928&gt;35,"Middle-aged Adult(36-60)",B928&gt;18,"Young Adult(19-35)",B928&gt;12,"Adolescent(13-18)",B928&gt;0,"Child(&lt;13)")</f>
        <v>Middle-aged Adult(36-60)</v>
      </c>
    </row>
    <row r="929" spans="1:12">
      <c r="A929" t="s">
        <v>15</v>
      </c>
      <c r="B929">
        <v>37</v>
      </c>
      <c r="C929">
        <v>0</v>
      </c>
      <c r="D929">
        <v>0</v>
      </c>
      <c r="E929">
        <v>0</v>
      </c>
      <c r="F929" t="s">
        <v>34</v>
      </c>
      <c r="G929" t="s">
        <v>17</v>
      </c>
      <c r="H929" t="s">
        <v>24</v>
      </c>
      <c r="I929" t="s">
        <v>14</v>
      </c>
      <c r="J929">
        <v>0</v>
      </c>
      <c r="K929" t="str">
        <f t="shared" si="14"/>
        <v>Not Affected</v>
      </c>
      <c r="L929" t="str" cm="1">
        <f t="array" ref="L929">_xlfn.IFS(B929&gt;60,"Older Adult(&gt;60)",B929&gt;35,"Middle-aged Adult(36-60)",B929&gt;18,"Young Adult(19-35)",B929&gt;12,"Adolescent(13-18)",B929&gt;0,"Child(&lt;13)")</f>
        <v>Middle-aged Adult(36-60)</v>
      </c>
    </row>
    <row r="930" spans="1:12">
      <c r="A930" t="s">
        <v>10</v>
      </c>
      <c r="B930">
        <v>42</v>
      </c>
      <c r="C930">
        <v>0</v>
      </c>
      <c r="D930">
        <v>0</v>
      </c>
      <c r="E930">
        <v>1</v>
      </c>
      <c r="F930" t="s">
        <v>45</v>
      </c>
      <c r="G930" t="s">
        <v>12</v>
      </c>
      <c r="H930" t="s">
        <v>24</v>
      </c>
      <c r="I930" t="s">
        <v>14</v>
      </c>
      <c r="J930">
        <v>0</v>
      </c>
      <c r="K930" t="str">
        <f t="shared" si="14"/>
        <v>Not Affected</v>
      </c>
      <c r="L930" t="str" cm="1">
        <f t="array" ref="L930">_xlfn.IFS(B930&gt;60,"Older Adult(&gt;60)",B930&gt;35,"Middle-aged Adult(36-60)",B930&gt;18,"Young Adult(19-35)",B930&gt;12,"Adolescent(13-18)",B930&gt;0,"Child(&lt;13)")</f>
        <v>Middle-aged Adult(36-60)</v>
      </c>
    </row>
    <row r="931" spans="1:12">
      <c r="A931" t="s">
        <v>15</v>
      </c>
      <c r="B931">
        <v>8</v>
      </c>
      <c r="C931">
        <v>0</v>
      </c>
      <c r="D931">
        <v>0</v>
      </c>
      <c r="E931">
        <v>1</v>
      </c>
      <c r="F931" t="s">
        <v>23</v>
      </c>
      <c r="G931" t="s">
        <v>17</v>
      </c>
      <c r="H931" t="s">
        <v>13</v>
      </c>
      <c r="I931" t="s">
        <v>14</v>
      </c>
      <c r="J931">
        <v>0</v>
      </c>
      <c r="K931" t="str">
        <f t="shared" si="14"/>
        <v>Not Affected</v>
      </c>
      <c r="L931" t="str" cm="1">
        <f t="array" ref="L931">_xlfn.IFS(B931&gt;60,"Older Adult(&gt;60)",B931&gt;35,"Middle-aged Adult(36-60)",B931&gt;18,"Young Adult(19-35)",B931&gt;12,"Adolescent(13-18)",B931&gt;0,"Child(&lt;13)")</f>
        <v>Child(&lt;13)</v>
      </c>
    </row>
    <row r="932" spans="1:12">
      <c r="A932" t="s">
        <v>15</v>
      </c>
      <c r="B932">
        <v>40</v>
      </c>
      <c r="C932">
        <v>0</v>
      </c>
      <c r="D932">
        <v>0</v>
      </c>
      <c r="E932">
        <v>0</v>
      </c>
      <c r="F932" t="s">
        <v>35</v>
      </c>
      <c r="G932" t="s">
        <v>12</v>
      </c>
      <c r="H932" t="s">
        <v>24</v>
      </c>
      <c r="I932" t="s">
        <v>14</v>
      </c>
      <c r="J932">
        <v>0</v>
      </c>
      <c r="K932" t="str">
        <f t="shared" si="14"/>
        <v>Not Affected</v>
      </c>
      <c r="L932" t="str" cm="1">
        <f t="array" ref="L932">_xlfn.IFS(B932&gt;60,"Older Adult(&gt;60)",B932&gt;35,"Middle-aged Adult(36-60)",B932&gt;18,"Young Adult(19-35)",B932&gt;12,"Adolescent(13-18)",B932&gt;0,"Child(&lt;13)")</f>
        <v>Middle-aged Adult(36-60)</v>
      </c>
    </row>
    <row r="933" spans="1:12">
      <c r="A933" t="s">
        <v>15</v>
      </c>
      <c r="B933">
        <v>56</v>
      </c>
      <c r="C933">
        <v>0</v>
      </c>
      <c r="D933">
        <v>0</v>
      </c>
      <c r="E933">
        <v>1</v>
      </c>
      <c r="F933" t="s">
        <v>22</v>
      </c>
      <c r="G933" t="s">
        <v>17</v>
      </c>
      <c r="H933" t="s">
        <v>24</v>
      </c>
      <c r="I933" t="s">
        <v>14</v>
      </c>
      <c r="J933">
        <v>0</v>
      </c>
      <c r="K933" t="str">
        <f t="shared" si="14"/>
        <v>Not Affected</v>
      </c>
      <c r="L933" t="str" cm="1">
        <f t="array" ref="L933">_xlfn.IFS(B933&gt;60,"Older Adult(&gt;60)",B933&gt;35,"Middle-aged Adult(36-60)",B933&gt;18,"Young Adult(19-35)",B933&gt;12,"Adolescent(13-18)",B933&gt;0,"Child(&lt;13)")</f>
        <v>Middle-aged Adult(36-60)</v>
      </c>
    </row>
    <row r="934" spans="1:12">
      <c r="A934" t="s">
        <v>15</v>
      </c>
      <c r="B934">
        <v>60</v>
      </c>
      <c r="C934">
        <v>0</v>
      </c>
      <c r="D934">
        <v>0</v>
      </c>
      <c r="E934">
        <v>1</v>
      </c>
      <c r="F934" t="s">
        <v>33</v>
      </c>
      <c r="G934" t="s">
        <v>12</v>
      </c>
      <c r="H934" t="s">
        <v>13</v>
      </c>
      <c r="I934" t="s">
        <v>14</v>
      </c>
      <c r="J934">
        <v>0</v>
      </c>
      <c r="K934" t="str">
        <f t="shared" si="14"/>
        <v>Not Affected</v>
      </c>
      <c r="L934" t="str" cm="1">
        <f t="array" ref="L934">_xlfn.IFS(B934&gt;60,"Older Adult(&gt;60)",B934&gt;35,"Middle-aged Adult(36-60)",B934&gt;18,"Young Adult(19-35)",B934&gt;12,"Adolescent(13-18)",B934&gt;0,"Child(&lt;13)")</f>
        <v>Middle-aged Adult(36-60)</v>
      </c>
    </row>
    <row r="935" spans="1:12">
      <c r="A935" t="s">
        <v>15</v>
      </c>
      <c r="B935">
        <v>26</v>
      </c>
      <c r="C935">
        <v>0</v>
      </c>
      <c r="D935">
        <v>0</v>
      </c>
      <c r="E935">
        <v>0</v>
      </c>
      <c r="F935" t="s">
        <v>20</v>
      </c>
      <c r="G935" t="s">
        <v>17</v>
      </c>
      <c r="H935" t="s">
        <v>24</v>
      </c>
      <c r="I935" t="s">
        <v>14</v>
      </c>
      <c r="J935">
        <v>0</v>
      </c>
      <c r="K935" t="str">
        <f t="shared" si="14"/>
        <v>Not Affected</v>
      </c>
      <c r="L935" t="str" cm="1">
        <f t="array" ref="L935">_xlfn.IFS(B935&gt;60,"Older Adult(&gt;60)",B935&gt;35,"Middle-aged Adult(36-60)",B935&gt;18,"Young Adult(19-35)",B935&gt;12,"Adolescent(13-18)",B935&gt;0,"Child(&lt;13)")</f>
        <v>Young Adult(19-35)</v>
      </c>
    </row>
    <row r="936" spans="1:12">
      <c r="A936" t="s">
        <v>10</v>
      </c>
      <c r="B936">
        <v>65</v>
      </c>
      <c r="C936">
        <v>1</v>
      </c>
      <c r="D936">
        <v>1</v>
      </c>
      <c r="E936">
        <v>0</v>
      </c>
      <c r="F936" t="s">
        <v>28</v>
      </c>
      <c r="G936" t="s">
        <v>12</v>
      </c>
      <c r="H936" t="s">
        <v>13</v>
      </c>
      <c r="I936" t="s">
        <v>14</v>
      </c>
      <c r="J936">
        <v>1</v>
      </c>
      <c r="K936" t="str">
        <f t="shared" si="14"/>
        <v>Affected</v>
      </c>
      <c r="L936" t="str" cm="1">
        <f t="array" ref="L936">_xlfn.IFS(B936&gt;60,"Older Adult(&gt;60)",B936&gt;35,"Middle-aged Adult(36-60)",B936&gt;18,"Young Adult(19-35)",B936&gt;12,"Adolescent(13-18)",B936&gt;0,"Child(&lt;13)")</f>
        <v>Older Adult(&gt;60)</v>
      </c>
    </row>
    <row r="937" spans="1:12">
      <c r="A937" t="s">
        <v>10</v>
      </c>
      <c r="B937">
        <v>33</v>
      </c>
      <c r="C937">
        <v>1</v>
      </c>
      <c r="D937">
        <v>1</v>
      </c>
      <c r="E937">
        <v>1</v>
      </c>
      <c r="F937" t="s">
        <v>48</v>
      </c>
      <c r="G937" t="s">
        <v>17</v>
      </c>
      <c r="H937" t="s">
        <v>13</v>
      </c>
      <c r="I937" t="s">
        <v>14</v>
      </c>
      <c r="J937">
        <v>1</v>
      </c>
      <c r="K937" t="str">
        <f t="shared" si="14"/>
        <v>Affected</v>
      </c>
      <c r="L937" t="str" cm="1">
        <f t="array" ref="L937">_xlfn.IFS(B937&gt;60,"Older Adult(&gt;60)",B937&gt;35,"Middle-aged Adult(36-60)",B937&gt;18,"Young Adult(19-35)",B937&gt;12,"Adolescent(13-18)",B937&gt;0,"Child(&lt;13)")</f>
        <v>Young Adult(19-35)</v>
      </c>
    </row>
    <row r="938" spans="1:12">
      <c r="A938" t="s">
        <v>10</v>
      </c>
      <c r="B938">
        <v>20</v>
      </c>
      <c r="C938">
        <v>0</v>
      </c>
      <c r="D938">
        <v>0</v>
      </c>
      <c r="E938">
        <v>0</v>
      </c>
      <c r="F938" t="s">
        <v>52</v>
      </c>
      <c r="G938" t="s">
        <v>12</v>
      </c>
      <c r="H938" t="s">
        <v>19</v>
      </c>
      <c r="I938" t="s">
        <v>14</v>
      </c>
      <c r="J938">
        <v>0</v>
      </c>
      <c r="K938" t="str">
        <f t="shared" si="14"/>
        <v>Not Affected</v>
      </c>
      <c r="L938" t="str" cm="1">
        <f t="array" ref="L938">_xlfn.IFS(B938&gt;60,"Older Adult(&gt;60)",B938&gt;35,"Middle-aged Adult(36-60)",B938&gt;18,"Young Adult(19-35)",B938&gt;12,"Adolescent(13-18)",B938&gt;0,"Child(&lt;13)")</f>
        <v>Young Adult(19-35)</v>
      </c>
    </row>
    <row r="939" spans="1:12">
      <c r="A939" t="s">
        <v>15</v>
      </c>
      <c r="B939">
        <v>20</v>
      </c>
      <c r="C939">
        <v>0</v>
      </c>
      <c r="D939">
        <v>0</v>
      </c>
      <c r="E939">
        <v>0</v>
      </c>
      <c r="F939" t="s">
        <v>46</v>
      </c>
      <c r="G939" t="s">
        <v>17</v>
      </c>
      <c r="H939" t="s">
        <v>19</v>
      </c>
      <c r="I939" t="s">
        <v>14</v>
      </c>
      <c r="J939">
        <v>0</v>
      </c>
      <c r="K939" t="str">
        <f t="shared" si="14"/>
        <v>Not Affected</v>
      </c>
      <c r="L939" t="str" cm="1">
        <f t="array" ref="L939">_xlfn.IFS(B939&gt;60,"Older Adult(&gt;60)",B939&gt;35,"Middle-aged Adult(36-60)",B939&gt;18,"Young Adult(19-35)",B939&gt;12,"Adolescent(13-18)",B939&gt;0,"Child(&lt;13)")</f>
        <v>Young Adult(19-35)</v>
      </c>
    </row>
    <row r="940" spans="1:12">
      <c r="A940" t="s">
        <v>10</v>
      </c>
      <c r="B940">
        <v>54</v>
      </c>
      <c r="C940">
        <v>1</v>
      </c>
      <c r="D940">
        <v>1</v>
      </c>
      <c r="E940">
        <v>0</v>
      </c>
      <c r="F940" t="s">
        <v>50</v>
      </c>
      <c r="G940" t="s">
        <v>12</v>
      </c>
      <c r="H940" t="s">
        <v>13</v>
      </c>
      <c r="I940" t="s">
        <v>14</v>
      </c>
      <c r="J940">
        <v>1</v>
      </c>
      <c r="K940" t="str">
        <f t="shared" si="14"/>
        <v>Affected</v>
      </c>
      <c r="L940" t="str" cm="1">
        <f t="array" ref="L940">_xlfn.IFS(B940&gt;60,"Older Adult(&gt;60)",B940&gt;35,"Middle-aged Adult(36-60)",B940&gt;18,"Young Adult(19-35)",B940&gt;12,"Adolescent(13-18)",B940&gt;0,"Child(&lt;13)")</f>
        <v>Middle-aged Adult(36-60)</v>
      </c>
    </row>
    <row r="941" spans="1:12">
      <c r="A941" t="s">
        <v>15</v>
      </c>
      <c r="B941">
        <v>22</v>
      </c>
      <c r="C941">
        <v>1</v>
      </c>
      <c r="D941">
        <v>1</v>
      </c>
      <c r="E941">
        <v>1</v>
      </c>
      <c r="F941" t="s">
        <v>45</v>
      </c>
      <c r="G941" t="s">
        <v>17</v>
      </c>
      <c r="H941" t="s">
        <v>24</v>
      </c>
      <c r="I941" t="s">
        <v>14</v>
      </c>
      <c r="J941">
        <v>1</v>
      </c>
      <c r="K941" t="str">
        <f t="shared" si="14"/>
        <v>Affected</v>
      </c>
      <c r="L941" t="str" cm="1">
        <f t="array" ref="L941">_xlfn.IFS(B941&gt;60,"Older Adult(&gt;60)",B941&gt;35,"Middle-aged Adult(36-60)",B941&gt;18,"Young Adult(19-35)",B941&gt;12,"Adolescent(13-18)",B941&gt;0,"Child(&lt;13)")</f>
        <v>Young Adult(19-35)</v>
      </c>
    </row>
    <row r="942" spans="1:12">
      <c r="A942" t="s">
        <v>10</v>
      </c>
      <c r="B942">
        <v>16</v>
      </c>
      <c r="C942">
        <v>0</v>
      </c>
      <c r="D942">
        <v>0</v>
      </c>
      <c r="E942">
        <v>0</v>
      </c>
      <c r="F942" t="s">
        <v>18</v>
      </c>
      <c r="G942" t="s">
        <v>12</v>
      </c>
      <c r="H942" t="s">
        <v>24</v>
      </c>
      <c r="I942" t="s">
        <v>14</v>
      </c>
      <c r="J942">
        <v>0</v>
      </c>
      <c r="K942" t="str">
        <f t="shared" si="14"/>
        <v>Not Affected</v>
      </c>
      <c r="L942" t="str" cm="1">
        <f t="array" ref="L942">_xlfn.IFS(B942&gt;60,"Older Adult(&gt;60)",B942&gt;35,"Middle-aged Adult(36-60)",B942&gt;18,"Young Adult(19-35)",B942&gt;12,"Adolescent(13-18)",B942&gt;0,"Child(&lt;13)")</f>
        <v>Adolescent(13-18)</v>
      </c>
    </row>
    <row r="943" spans="1:12">
      <c r="A943" t="s">
        <v>10</v>
      </c>
      <c r="B943">
        <v>37</v>
      </c>
      <c r="C943">
        <v>0</v>
      </c>
      <c r="D943">
        <v>0</v>
      </c>
      <c r="E943">
        <v>0</v>
      </c>
      <c r="F943" t="s">
        <v>52</v>
      </c>
      <c r="G943" t="s">
        <v>17</v>
      </c>
      <c r="H943" t="s">
        <v>13</v>
      </c>
      <c r="I943" t="s">
        <v>14</v>
      </c>
      <c r="J943">
        <v>0</v>
      </c>
      <c r="K943" t="str">
        <f t="shared" si="14"/>
        <v>Not Affected</v>
      </c>
      <c r="L943" t="str" cm="1">
        <f t="array" ref="L943">_xlfn.IFS(B943&gt;60,"Older Adult(&gt;60)",B943&gt;35,"Middle-aged Adult(36-60)",B943&gt;18,"Young Adult(19-35)",B943&gt;12,"Adolescent(13-18)",B943&gt;0,"Child(&lt;13)")</f>
        <v>Middle-aged Adult(36-60)</v>
      </c>
    </row>
    <row r="944" spans="1:12">
      <c r="A944" t="s">
        <v>10</v>
      </c>
      <c r="B944">
        <v>26</v>
      </c>
      <c r="C944">
        <v>0</v>
      </c>
      <c r="D944">
        <v>0</v>
      </c>
      <c r="E944">
        <v>1</v>
      </c>
      <c r="F944" t="s">
        <v>44</v>
      </c>
      <c r="G944" t="s">
        <v>12</v>
      </c>
      <c r="H944" t="s">
        <v>24</v>
      </c>
      <c r="I944" t="s">
        <v>14</v>
      </c>
      <c r="J944">
        <v>0</v>
      </c>
      <c r="K944" t="str">
        <f t="shared" si="14"/>
        <v>Not Affected</v>
      </c>
      <c r="L944" t="str" cm="1">
        <f t="array" ref="L944">_xlfn.IFS(B944&gt;60,"Older Adult(&gt;60)",B944&gt;35,"Middle-aged Adult(36-60)",B944&gt;18,"Young Adult(19-35)",B944&gt;12,"Adolescent(13-18)",B944&gt;0,"Child(&lt;13)")</f>
        <v>Young Adult(19-35)</v>
      </c>
    </row>
    <row r="945" spans="1:12">
      <c r="A945" t="s">
        <v>10</v>
      </c>
      <c r="B945">
        <v>27</v>
      </c>
      <c r="C945">
        <v>0</v>
      </c>
      <c r="D945">
        <v>0</v>
      </c>
      <c r="E945">
        <v>0</v>
      </c>
      <c r="F945" t="s">
        <v>41</v>
      </c>
      <c r="G945" t="s">
        <v>17</v>
      </c>
      <c r="H945" t="s">
        <v>24</v>
      </c>
      <c r="I945" t="s">
        <v>14</v>
      </c>
      <c r="J945">
        <v>0</v>
      </c>
      <c r="K945" t="str">
        <f t="shared" si="14"/>
        <v>Not Affected</v>
      </c>
      <c r="L945" t="str" cm="1">
        <f t="array" ref="L945">_xlfn.IFS(B945&gt;60,"Older Adult(&gt;60)",B945&gt;35,"Middle-aged Adult(36-60)",B945&gt;18,"Young Adult(19-35)",B945&gt;12,"Adolescent(13-18)",B945&gt;0,"Child(&lt;13)")</f>
        <v>Young Adult(19-35)</v>
      </c>
    </row>
    <row r="946" spans="1:12">
      <c r="A946" t="s">
        <v>10</v>
      </c>
      <c r="B946">
        <v>10</v>
      </c>
      <c r="C946">
        <v>0</v>
      </c>
      <c r="D946">
        <v>0</v>
      </c>
      <c r="E946">
        <v>0</v>
      </c>
      <c r="F946" t="s">
        <v>50</v>
      </c>
      <c r="G946" t="s">
        <v>12</v>
      </c>
      <c r="H946" t="s">
        <v>13</v>
      </c>
      <c r="I946" t="s">
        <v>14</v>
      </c>
      <c r="J946">
        <v>0</v>
      </c>
      <c r="K946" t="str">
        <f t="shared" si="14"/>
        <v>Not Affected</v>
      </c>
      <c r="L946" t="str" cm="1">
        <f t="array" ref="L946">_xlfn.IFS(B946&gt;60,"Older Adult(&gt;60)",B946&gt;35,"Middle-aged Adult(36-60)",B946&gt;18,"Young Adult(19-35)",B946&gt;12,"Adolescent(13-18)",B946&gt;0,"Child(&lt;13)")</f>
        <v>Child(&lt;13)</v>
      </c>
    </row>
    <row r="947" spans="1:12">
      <c r="A947" t="s">
        <v>10</v>
      </c>
      <c r="B947">
        <v>15</v>
      </c>
      <c r="C947">
        <v>0</v>
      </c>
      <c r="D947">
        <v>0</v>
      </c>
      <c r="E947">
        <v>0</v>
      </c>
      <c r="F947" t="s">
        <v>37</v>
      </c>
      <c r="G947" t="s">
        <v>17</v>
      </c>
      <c r="H947" t="s">
        <v>13</v>
      </c>
      <c r="I947" t="s">
        <v>14</v>
      </c>
      <c r="J947">
        <v>0</v>
      </c>
      <c r="K947" t="str">
        <f t="shared" si="14"/>
        <v>Not Affected</v>
      </c>
      <c r="L947" t="str" cm="1">
        <f t="array" ref="L947">_xlfn.IFS(B947&gt;60,"Older Adult(&gt;60)",B947&gt;35,"Middle-aged Adult(36-60)",B947&gt;18,"Young Adult(19-35)",B947&gt;12,"Adolescent(13-18)",B947&gt;0,"Child(&lt;13)")</f>
        <v>Adolescent(13-18)</v>
      </c>
    </row>
    <row r="948" spans="1:12">
      <c r="A948" t="s">
        <v>10</v>
      </c>
      <c r="B948">
        <v>17</v>
      </c>
      <c r="C948">
        <v>0</v>
      </c>
      <c r="D948">
        <v>0</v>
      </c>
      <c r="E948">
        <v>0</v>
      </c>
      <c r="F948" t="s">
        <v>36</v>
      </c>
      <c r="G948" t="s">
        <v>12</v>
      </c>
      <c r="H948" t="s">
        <v>24</v>
      </c>
      <c r="I948" t="s">
        <v>14</v>
      </c>
      <c r="J948">
        <v>0</v>
      </c>
      <c r="K948" t="str">
        <f t="shared" si="14"/>
        <v>Not Affected</v>
      </c>
      <c r="L948" t="str" cm="1">
        <f t="array" ref="L948">_xlfn.IFS(B948&gt;60,"Older Adult(&gt;60)",B948&gt;35,"Middle-aged Adult(36-60)",B948&gt;18,"Young Adult(19-35)",B948&gt;12,"Adolescent(13-18)",B948&gt;0,"Child(&lt;13)")</f>
        <v>Adolescent(13-18)</v>
      </c>
    </row>
    <row r="949" spans="1:12">
      <c r="A949" t="s">
        <v>10</v>
      </c>
      <c r="B949">
        <v>61</v>
      </c>
      <c r="C949">
        <v>1</v>
      </c>
      <c r="D949">
        <v>1</v>
      </c>
      <c r="E949">
        <v>1</v>
      </c>
      <c r="F949" t="s">
        <v>11</v>
      </c>
      <c r="G949" t="s">
        <v>17</v>
      </c>
      <c r="H949" t="s">
        <v>13</v>
      </c>
      <c r="I949" t="s">
        <v>14</v>
      </c>
      <c r="J949">
        <v>1</v>
      </c>
      <c r="K949" t="str">
        <f t="shared" si="14"/>
        <v>Affected</v>
      </c>
      <c r="L949" t="str" cm="1">
        <f t="array" ref="L949">_xlfn.IFS(B949&gt;60,"Older Adult(&gt;60)",B949&gt;35,"Middle-aged Adult(36-60)",B949&gt;18,"Young Adult(19-35)",B949&gt;12,"Adolescent(13-18)",B949&gt;0,"Child(&lt;13)")</f>
        <v>Older Adult(&gt;60)</v>
      </c>
    </row>
    <row r="950" spans="1:12">
      <c r="A950" t="s">
        <v>15</v>
      </c>
      <c r="B950">
        <v>35</v>
      </c>
      <c r="C950">
        <v>1</v>
      </c>
      <c r="D950">
        <v>1</v>
      </c>
      <c r="E950">
        <v>1</v>
      </c>
      <c r="F950" t="s">
        <v>29</v>
      </c>
      <c r="G950" t="s">
        <v>12</v>
      </c>
      <c r="H950" t="s">
        <v>19</v>
      </c>
      <c r="I950" t="s">
        <v>14</v>
      </c>
      <c r="J950">
        <v>1</v>
      </c>
      <c r="K950" t="str">
        <f t="shared" si="14"/>
        <v>Affected</v>
      </c>
      <c r="L950" t="str" cm="1">
        <f t="array" ref="L950">_xlfn.IFS(B950&gt;60,"Older Adult(&gt;60)",B950&gt;35,"Middle-aged Adult(36-60)",B950&gt;18,"Young Adult(19-35)",B950&gt;12,"Adolescent(13-18)",B950&gt;0,"Child(&lt;13)")</f>
        <v>Young Adult(19-35)</v>
      </c>
    </row>
    <row r="951" spans="1:12">
      <c r="A951" t="s">
        <v>10</v>
      </c>
      <c r="B951">
        <v>55</v>
      </c>
      <c r="C951">
        <v>1</v>
      </c>
      <c r="D951">
        <v>1</v>
      </c>
      <c r="E951">
        <v>1</v>
      </c>
      <c r="F951" t="s">
        <v>52</v>
      </c>
      <c r="G951" t="s">
        <v>17</v>
      </c>
      <c r="H951" t="s">
        <v>19</v>
      </c>
      <c r="I951" t="s">
        <v>14</v>
      </c>
      <c r="J951">
        <v>1</v>
      </c>
      <c r="K951" t="str">
        <f t="shared" si="14"/>
        <v>Affected</v>
      </c>
      <c r="L951" t="str" cm="1">
        <f t="array" ref="L951">_xlfn.IFS(B951&gt;60,"Older Adult(&gt;60)",B951&gt;35,"Middle-aged Adult(36-60)",B951&gt;18,"Young Adult(19-35)",B951&gt;12,"Adolescent(13-18)",B951&gt;0,"Child(&lt;13)")</f>
        <v>Middle-aged Adult(36-60)</v>
      </c>
    </row>
    <row r="952" spans="1:12">
      <c r="A952" t="s">
        <v>10</v>
      </c>
      <c r="B952">
        <v>16</v>
      </c>
      <c r="C952">
        <v>1</v>
      </c>
      <c r="D952">
        <v>1</v>
      </c>
      <c r="E952">
        <v>1</v>
      </c>
      <c r="F952" t="s">
        <v>43</v>
      </c>
      <c r="G952" t="s">
        <v>12</v>
      </c>
      <c r="H952" t="s">
        <v>19</v>
      </c>
      <c r="I952" t="s">
        <v>14</v>
      </c>
      <c r="J952">
        <v>1</v>
      </c>
      <c r="K952" t="str">
        <f t="shared" si="14"/>
        <v>Affected</v>
      </c>
      <c r="L952" t="str" cm="1">
        <f t="array" ref="L952">_xlfn.IFS(B952&gt;60,"Older Adult(&gt;60)",B952&gt;35,"Middle-aged Adult(36-60)",B952&gt;18,"Young Adult(19-35)",B952&gt;12,"Adolescent(13-18)",B952&gt;0,"Child(&lt;13)")</f>
        <v>Adolescent(13-18)</v>
      </c>
    </row>
    <row r="953" spans="1:12">
      <c r="A953" t="s">
        <v>15</v>
      </c>
      <c r="B953">
        <v>52</v>
      </c>
      <c r="C953">
        <v>0</v>
      </c>
      <c r="D953">
        <v>0</v>
      </c>
      <c r="E953">
        <v>0</v>
      </c>
      <c r="F953" t="s">
        <v>50</v>
      </c>
      <c r="G953" t="s">
        <v>17</v>
      </c>
      <c r="H953" t="s">
        <v>13</v>
      </c>
      <c r="I953" t="s">
        <v>14</v>
      </c>
      <c r="J953">
        <v>0</v>
      </c>
      <c r="K953" t="str">
        <f t="shared" si="14"/>
        <v>Not Affected</v>
      </c>
      <c r="L953" t="str" cm="1">
        <f t="array" ref="L953">_xlfn.IFS(B953&gt;60,"Older Adult(&gt;60)",B953&gt;35,"Middle-aged Adult(36-60)",B953&gt;18,"Young Adult(19-35)",B953&gt;12,"Adolescent(13-18)",B953&gt;0,"Child(&lt;13)")</f>
        <v>Middle-aged Adult(36-60)</v>
      </c>
    </row>
    <row r="954" spans="1:12">
      <c r="A954" t="s">
        <v>10</v>
      </c>
      <c r="B954">
        <v>50</v>
      </c>
      <c r="C954">
        <v>0</v>
      </c>
      <c r="D954">
        <v>0</v>
      </c>
      <c r="E954">
        <v>0</v>
      </c>
      <c r="F954" t="s">
        <v>20</v>
      </c>
      <c r="G954" t="s">
        <v>12</v>
      </c>
      <c r="H954" t="s">
        <v>19</v>
      </c>
      <c r="I954" t="s">
        <v>14</v>
      </c>
      <c r="J954">
        <v>0</v>
      </c>
      <c r="K954" t="str">
        <f t="shared" si="14"/>
        <v>Not Affected</v>
      </c>
      <c r="L954" t="str" cm="1">
        <f t="array" ref="L954">_xlfn.IFS(B954&gt;60,"Older Adult(&gt;60)",B954&gt;35,"Middle-aged Adult(36-60)",B954&gt;18,"Young Adult(19-35)",B954&gt;12,"Adolescent(13-18)",B954&gt;0,"Child(&lt;13)")</f>
        <v>Middle-aged Adult(36-60)</v>
      </c>
    </row>
    <row r="955" spans="1:12">
      <c r="A955" t="s">
        <v>10</v>
      </c>
      <c r="B955">
        <v>23</v>
      </c>
      <c r="C955">
        <v>1</v>
      </c>
      <c r="D955">
        <v>1</v>
      </c>
      <c r="E955">
        <v>1</v>
      </c>
      <c r="F955" t="s">
        <v>26</v>
      </c>
      <c r="G955" t="s">
        <v>17</v>
      </c>
      <c r="H955" t="s">
        <v>24</v>
      </c>
      <c r="I955" t="s">
        <v>14</v>
      </c>
      <c r="J955">
        <v>1</v>
      </c>
      <c r="K955" t="str">
        <f t="shared" si="14"/>
        <v>Affected</v>
      </c>
      <c r="L955" t="str" cm="1">
        <f t="array" ref="L955">_xlfn.IFS(B955&gt;60,"Older Adult(&gt;60)",B955&gt;35,"Middle-aged Adult(36-60)",B955&gt;18,"Young Adult(19-35)",B955&gt;12,"Adolescent(13-18)",B955&gt;0,"Child(&lt;13)")</f>
        <v>Young Adult(19-35)</v>
      </c>
    </row>
    <row r="956" spans="1:12">
      <c r="A956" t="s">
        <v>15</v>
      </c>
      <c r="B956">
        <v>64</v>
      </c>
      <c r="C956">
        <v>1</v>
      </c>
      <c r="D956">
        <v>1</v>
      </c>
      <c r="E956">
        <v>0</v>
      </c>
      <c r="F956" t="s">
        <v>44</v>
      </c>
      <c r="G956" t="s">
        <v>12</v>
      </c>
      <c r="H956" t="s">
        <v>13</v>
      </c>
      <c r="I956" t="s">
        <v>14</v>
      </c>
      <c r="J956">
        <v>1</v>
      </c>
      <c r="K956" t="str">
        <f t="shared" si="14"/>
        <v>Affected</v>
      </c>
      <c r="L956" t="str" cm="1">
        <f t="array" ref="L956">_xlfn.IFS(B956&gt;60,"Older Adult(&gt;60)",B956&gt;35,"Middle-aged Adult(36-60)",B956&gt;18,"Young Adult(19-35)",B956&gt;12,"Adolescent(13-18)",B956&gt;0,"Child(&lt;13)")</f>
        <v>Older Adult(&gt;60)</v>
      </c>
    </row>
    <row r="957" spans="1:12">
      <c r="A957" t="s">
        <v>10</v>
      </c>
      <c r="B957">
        <v>50</v>
      </c>
      <c r="C957">
        <v>0</v>
      </c>
      <c r="D957">
        <v>0</v>
      </c>
      <c r="E957">
        <v>0</v>
      </c>
      <c r="F957" t="s">
        <v>52</v>
      </c>
      <c r="G957" t="s">
        <v>17</v>
      </c>
      <c r="H957" t="s">
        <v>24</v>
      </c>
      <c r="I957" t="s">
        <v>14</v>
      </c>
      <c r="J957">
        <v>0</v>
      </c>
      <c r="K957" t="str">
        <f t="shared" si="14"/>
        <v>Not Affected</v>
      </c>
      <c r="L957" t="str" cm="1">
        <f t="array" ref="L957">_xlfn.IFS(B957&gt;60,"Older Adult(&gt;60)",B957&gt;35,"Middle-aged Adult(36-60)",B957&gt;18,"Young Adult(19-35)",B957&gt;12,"Adolescent(13-18)",B957&gt;0,"Child(&lt;13)")</f>
        <v>Middle-aged Adult(36-60)</v>
      </c>
    </row>
    <row r="958" spans="1:12">
      <c r="A958" t="s">
        <v>10</v>
      </c>
      <c r="B958">
        <v>8</v>
      </c>
      <c r="C958">
        <v>0</v>
      </c>
      <c r="D958">
        <v>1</v>
      </c>
      <c r="E958">
        <v>0</v>
      </c>
      <c r="F958" t="s">
        <v>46</v>
      </c>
      <c r="G958" t="s">
        <v>17</v>
      </c>
      <c r="H958" t="s">
        <v>19</v>
      </c>
      <c r="I958" t="s">
        <v>14</v>
      </c>
      <c r="J958">
        <v>1</v>
      </c>
      <c r="K958" t="str">
        <f t="shared" si="14"/>
        <v>Affected</v>
      </c>
      <c r="L958" t="str" cm="1">
        <f t="array" ref="L958">_xlfn.IFS(B958&gt;60,"Older Adult(&gt;60)",B958&gt;35,"Middle-aged Adult(36-60)",B958&gt;18,"Young Adult(19-35)",B958&gt;12,"Adolescent(13-18)",B958&gt;0,"Child(&lt;13)")</f>
        <v>Child(&lt;13)</v>
      </c>
    </row>
    <row r="959" spans="1:12">
      <c r="A959" t="s">
        <v>10</v>
      </c>
      <c r="B959">
        <v>37</v>
      </c>
      <c r="C959">
        <v>0</v>
      </c>
      <c r="D959">
        <v>0</v>
      </c>
      <c r="E959">
        <v>1</v>
      </c>
      <c r="F959" t="s">
        <v>30</v>
      </c>
      <c r="G959" t="s">
        <v>17</v>
      </c>
      <c r="H959" t="s">
        <v>24</v>
      </c>
      <c r="I959" t="s">
        <v>14</v>
      </c>
      <c r="J959">
        <v>0</v>
      </c>
      <c r="K959" t="str">
        <f t="shared" si="14"/>
        <v>Not Affected</v>
      </c>
      <c r="L959" t="str" cm="1">
        <f t="array" ref="L959">_xlfn.IFS(B959&gt;60,"Older Adult(&gt;60)",B959&gt;35,"Middle-aged Adult(36-60)",B959&gt;18,"Young Adult(19-35)",B959&gt;12,"Adolescent(13-18)",B959&gt;0,"Child(&lt;13)")</f>
        <v>Middle-aged Adult(36-60)</v>
      </c>
    </row>
    <row r="960" spans="1:12">
      <c r="A960" t="s">
        <v>10</v>
      </c>
      <c r="B960">
        <v>63</v>
      </c>
      <c r="C960">
        <v>0</v>
      </c>
      <c r="D960">
        <v>0</v>
      </c>
      <c r="E960">
        <v>0</v>
      </c>
      <c r="F960" t="s">
        <v>52</v>
      </c>
      <c r="G960" t="s">
        <v>12</v>
      </c>
      <c r="H960" t="s">
        <v>19</v>
      </c>
      <c r="I960" t="s">
        <v>14</v>
      </c>
      <c r="J960">
        <v>0</v>
      </c>
      <c r="K960" t="str">
        <f t="shared" si="14"/>
        <v>Not Affected</v>
      </c>
      <c r="L960" t="str" cm="1">
        <f t="array" ref="L960">_xlfn.IFS(B960&gt;60,"Older Adult(&gt;60)",B960&gt;35,"Middle-aged Adult(36-60)",B960&gt;18,"Young Adult(19-35)",B960&gt;12,"Adolescent(13-18)",B960&gt;0,"Child(&lt;13)")</f>
        <v>Older Adult(&gt;60)</v>
      </c>
    </row>
    <row r="961" spans="1:12">
      <c r="A961" t="s">
        <v>10</v>
      </c>
      <c r="B961">
        <v>45</v>
      </c>
      <c r="C961">
        <v>0</v>
      </c>
      <c r="D961">
        <v>0</v>
      </c>
      <c r="E961">
        <v>0</v>
      </c>
      <c r="F961" t="s">
        <v>36</v>
      </c>
      <c r="G961" t="s">
        <v>17</v>
      </c>
      <c r="H961" t="s">
        <v>19</v>
      </c>
      <c r="I961" t="s">
        <v>14</v>
      </c>
      <c r="J961">
        <v>0</v>
      </c>
      <c r="K961" t="str">
        <f t="shared" si="14"/>
        <v>Not Affected</v>
      </c>
      <c r="L961" t="str" cm="1">
        <f t="array" ref="L961">_xlfn.IFS(B961&gt;60,"Older Adult(&gt;60)",B961&gt;35,"Middle-aged Adult(36-60)",B961&gt;18,"Young Adult(19-35)",B961&gt;12,"Adolescent(13-18)",B961&gt;0,"Child(&lt;13)")</f>
        <v>Middle-aged Adult(36-60)</v>
      </c>
    </row>
    <row r="962" spans="1:12">
      <c r="A962" t="s">
        <v>10</v>
      </c>
      <c r="B962">
        <v>26</v>
      </c>
      <c r="C962">
        <v>0</v>
      </c>
      <c r="D962">
        <v>0</v>
      </c>
      <c r="E962">
        <v>0</v>
      </c>
      <c r="F962" t="s">
        <v>53</v>
      </c>
      <c r="G962" t="s">
        <v>12</v>
      </c>
      <c r="H962" t="s">
        <v>13</v>
      </c>
      <c r="I962" t="s">
        <v>14</v>
      </c>
      <c r="J962">
        <v>0</v>
      </c>
      <c r="K962" t="str">
        <f t="shared" si="14"/>
        <v>Not Affected</v>
      </c>
      <c r="L962" t="str" cm="1">
        <f t="array" ref="L962">_xlfn.IFS(B962&gt;60,"Older Adult(&gt;60)",B962&gt;35,"Middle-aged Adult(36-60)",B962&gt;18,"Young Adult(19-35)",B962&gt;12,"Adolescent(13-18)",B962&gt;0,"Child(&lt;13)")</f>
        <v>Young Adult(19-35)</v>
      </c>
    </row>
    <row r="963" spans="1:12">
      <c r="A963" t="s">
        <v>10</v>
      </c>
      <c r="B963">
        <v>24</v>
      </c>
      <c r="C963">
        <v>0</v>
      </c>
      <c r="D963">
        <v>0</v>
      </c>
      <c r="E963">
        <v>0</v>
      </c>
      <c r="F963" t="s">
        <v>45</v>
      </c>
      <c r="G963" t="s">
        <v>17</v>
      </c>
      <c r="H963" t="s">
        <v>19</v>
      </c>
      <c r="I963" t="s">
        <v>14</v>
      </c>
      <c r="J963">
        <v>0</v>
      </c>
      <c r="K963" t="str">
        <f t="shared" ref="K963:K1001" si="15">IF(J963=0, "Not Affected", "Affected")</f>
        <v>Not Affected</v>
      </c>
      <c r="L963" t="str" cm="1">
        <f t="array" ref="L963">_xlfn.IFS(B963&gt;60,"Older Adult(&gt;60)",B963&gt;35,"Middle-aged Adult(36-60)",B963&gt;18,"Young Adult(19-35)",B963&gt;12,"Adolescent(13-18)",B963&gt;0,"Child(&lt;13)")</f>
        <v>Young Adult(19-35)</v>
      </c>
    </row>
    <row r="964" spans="1:12">
      <c r="A964" t="s">
        <v>15</v>
      </c>
      <c r="B964">
        <v>31</v>
      </c>
      <c r="C964">
        <v>1</v>
      </c>
      <c r="D964">
        <v>1</v>
      </c>
      <c r="E964">
        <v>0</v>
      </c>
      <c r="F964" t="s">
        <v>47</v>
      </c>
      <c r="G964" t="s">
        <v>12</v>
      </c>
      <c r="H964" t="s">
        <v>24</v>
      </c>
      <c r="I964" t="s">
        <v>14</v>
      </c>
      <c r="J964">
        <v>1</v>
      </c>
      <c r="K964" t="str">
        <f t="shared" si="15"/>
        <v>Affected</v>
      </c>
      <c r="L964" t="str" cm="1">
        <f t="array" ref="L964">_xlfn.IFS(B964&gt;60,"Older Adult(&gt;60)",B964&gt;35,"Middle-aged Adult(36-60)",B964&gt;18,"Young Adult(19-35)",B964&gt;12,"Adolescent(13-18)",B964&gt;0,"Child(&lt;13)")</f>
        <v>Young Adult(19-35)</v>
      </c>
    </row>
    <row r="965" spans="1:12">
      <c r="A965" t="s">
        <v>10</v>
      </c>
      <c r="B965">
        <v>54</v>
      </c>
      <c r="C965">
        <v>0</v>
      </c>
      <c r="D965">
        <v>0</v>
      </c>
      <c r="E965">
        <v>1</v>
      </c>
      <c r="F965" t="s">
        <v>25</v>
      </c>
      <c r="G965" t="s">
        <v>17</v>
      </c>
      <c r="H965" t="s">
        <v>24</v>
      </c>
      <c r="I965" t="s">
        <v>14</v>
      </c>
      <c r="J965">
        <v>0</v>
      </c>
      <c r="K965" t="str">
        <f t="shared" si="15"/>
        <v>Not Affected</v>
      </c>
      <c r="L965" t="str" cm="1">
        <f t="array" ref="L965">_xlfn.IFS(B965&gt;60,"Older Adult(&gt;60)",B965&gt;35,"Middle-aged Adult(36-60)",B965&gt;18,"Young Adult(19-35)",B965&gt;12,"Adolescent(13-18)",B965&gt;0,"Child(&lt;13)")</f>
        <v>Middle-aged Adult(36-60)</v>
      </c>
    </row>
    <row r="966" spans="1:12">
      <c r="A966" t="s">
        <v>15</v>
      </c>
      <c r="B966">
        <v>60</v>
      </c>
      <c r="C966">
        <v>1</v>
      </c>
      <c r="D966">
        <v>1</v>
      </c>
      <c r="E966">
        <v>1</v>
      </c>
      <c r="F966" t="s">
        <v>35</v>
      </c>
      <c r="G966" t="s">
        <v>12</v>
      </c>
      <c r="H966" t="s">
        <v>13</v>
      </c>
      <c r="I966" t="s">
        <v>14</v>
      </c>
      <c r="J966">
        <v>1</v>
      </c>
      <c r="K966" t="str">
        <f t="shared" si="15"/>
        <v>Affected</v>
      </c>
      <c r="L966" t="str" cm="1">
        <f t="array" ref="L966">_xlfn.IFS(B966&gt;60,"Older Adult(&gt;60)",B966&gt;35,"Middle-aged Adult(36-60)",B966&gt;18,"Young Adult(19-35)",B966&gt;12,"Adolescent(13-18)",B966&gt;0,"Child(&lt;13)")</f>
        <v>Middle-aged Adult(36-60)</v>
      </c>
    </row>
    <row r="967" spans="1:12">
      <c r="A967" t="s">
        <v>15</v>
      </c>
      <c r="B967">
        <v>61</v>
      </c>
      <c r="C967">
        <v>1</v>
      </c>
      <c r="D967">
        <v>1</v>
      </c>
      <c r="E967">
        <v>1</v>
      </c>
      <c r="F967" t="s">
        <v>21</v>
      </c>
      <c r="G967" t="s">
        <v>17</v>
      </c>
      <c r="H967" t="s">
        <v>13</v>
      </c>
      <c r="I967" t="s">
        <v>14</v>
      </c>
      <c r="J967">
        <v>1</v>
      </c>
      <c r="K967" t="str">
        <f t="shared" si="15"/>
        <v>Affected</v>
      </c>
      <c r="L967" t="str" cm="1">
        <f t="array" ref="L967">_xlfn.IFS(B967&gt;60,"Older Adult(&gt;60)",B967&gt;35,"Middle-aged Adult(36-60)",B967&gt;18,"Young Adult(19-35)",B967&gt;12,"Adolescent(13-18)",B967&gt;0,"Child(&lt;13)")</f>
        <v>Older Adult(&gt;60)</v>
      </c>
    </row>
    <row r="968" spans="1:12">
      <c r="A968" t="s">
        <v>15</v>
      </c>
      <c r="B968">
        <v>58</v>
      </c>
      <c r="C968">
        <v>0</v>
      </c>
      <c r="D968">
        <v>1</v>
      </c>
      <c r="E968">
        <v>0</v>
      </c>
      <c r="F968" t="s">
        <v>40</v>
      </c>
      <c r="G968" t="s">
        <v>12</v>
      </c>
      <c r="H968" t="s">
        <v>24</v>
      </c>
      <c r="I968" t="s">
        <v>14</v>
      </c>
      <c r="J968">
        <v>1</v>
      </c>
      <c r="K968" t="str">
        <f t="shared" si="15"/>
        <v>Affected</v>
      </c>
      <c r="L968" t="str" cm="1">
        <f t="array" ref="L968">_xlfn.IFS(B968&gt;60,"Older Adult(&gt;60)",B968&gt;35,"Middle-aged Adult(36-60)",B968&gt;18,"Young Adult(19-35)",B968&gt;12,"Adolescent(13-18)",B968&gt;0,"Child(&lt;13)")</f>
        <v>Middle-aged Adult(36-60)</v>
      </c>
    </row>
    <row r="969" spans="1:12">
      <c r="A969" t="s">
        <v>10</v>
      </c>
      <c r="B969">
        <v>39</v>
      </c>
      <c r="C969">
        <v>0</v>
      </c>
      <c r="D969">
        <v>0</v>
      </c>
      <c r="E969">
        <v>1</v>
      </c>
      <c r="F969" t="s">
        <v>42</v>
      </c>
      <c r="G969" t="s">
        <v>17</v>
      </c>
      <c r="H969" t="s">
        <v>24</v>
      </c>
      <c r="I969" t="s">
        <v>14</v>
      </c>
      <c r="J969">
        <v>0</v>
      </c>
      <c r="K969" t="str">
        <f t="shared" si="15"/>
        <v>Not Affected</v>
      </c>
      <c r="L969" t="str" cm="1">
        <f t="array" ref="L969">_xlfn.IFS(B969&gt;60,"Older Adult(&gt;60)",B969&gt;35,"Middle-aged Adult(36-60)",B969&gt;18,"Young Adult(19-35)",B969&gt;12,"Adolescent(13-18)",B969&gt;0,"Child(&lt;13)")</f>
        <v>Middle-aged Adult(36-60)</v>
      </c>
    </row>
    <row r="970" spans="1:12">
      <c r="A970" t="s">
        <v>10</v>
      </c>
      <c r="B970">
        <v>30</v>
      </c>
      <c r="C970">
        <v>0</v>
      </c>
      <c r="D970">
        <v>0</v>
      </c>
      <c r="E970">
        <v>1</v>
      </c>
      <c r="F970" t="s">
        <v>43</v>
      </c>
      <c r="G970" t="s">
        <v>12</v>
      </c>
      <c r="H970" t="s">
        <v>19</v>
      </c>
      <c r="I970" t="s">
        <v>14</v>
      </c>
      <c r="J970">
        <v>0</v>
      </c>
      <c r="K970" t="str">
        <f t="shared" si="15"/>
        <v>Not Affected</v>
      </c>
      <c r="L970" t="str" cm="1">
        <f t="array" ref="L970">_xlfn.IFS(B970&gt;60,"Older Adult(&gt;60)",B970&gt;35,"Middle-aged Adult(36-60)",B970&gt;18,"Young Adult(19-35)",B970&gt;12,"Adolescent(13-18)",B970&gt;0,"Child(&lt;13)")</f>
        <v>Young Adult(19-35)</v>
      </c>
    </row>
    <row r="971" spans="1:12">
      <c r="A971" t="s">
        <v>15</v>
      </c>
      <c r="B971">
        <v>57</v>
      </c>
      <c r="C971">
        <v>1</v>
      </c>
      <c r="D971">
        <v>1</v>
      </c>
      <c r="E971">
        <v>0</v>
      </c>
      <c r="F971" t="s">
        <v>38</v>
      </c>
      <c r="G971" t="s">
        <v>17</v>
      </c>
      <c r="H971" t="s">
        <v>19</v>
      </c>
      <c r="I971" t="s">
        <v>14</v>
      </c>
      <c r="J971">
        <v>1</v>
      </c>
      <c r="K971" t="str">
        <f t="shared" si="15"/>
        <v>Affected</v>
      </c>
      <c r="L971" t="str" cm="1">
        <f t="array" ref="L971">_xlfn.IFS(B971&gt;60,"Older Adult(&gt;60)",B971&gt;35,"Middle-aged Adult(36-60)",B971&gt;18,"Young Adult(19-35)",B971&gt;12,"Adolescent(13-18)",B971&gt;0,"Child(&lt;13)")</f>
        <v>Middle-aged Adult(36-60)</v>
      </c>
    </row>
    <row r="972" spans="1:12">
      <c r="A972" t="s">
        <v>10</v>
      </c>
      <c r="B972">
        <v>40</v>
      </c>
      <c r="C972">
        <v>1</v>
      </c>
      <c r="D972">
        <v>1</v>
      </c>
      <c r="E972">
        <v>0</v>
      </c>
      <c r="F972" t="s">
        <v>18</v>
      </c>
      <c r="G972" t="s">
        <v>12</v>
      </c>
      <c r="H972" t="s">
        <v>24</v>
      </c>
      <c r="I972" t="s">
        <v>14</v>
      </c>
      <c r="J972">
        <v>1</v>
      </c>
      <c r="K972" t="str">
        <f t="shared" si="15"/>
        <v>Affected</v>
      </c>
      <c r="L972" t="str" cm="1">
        <f t="array" ref="L972">_xlfn.IFS(B972&gt;60,"Older Adult(&gt;60)",B972&gt;35,"Middle-aged Adult(36-60)",B972&gt;18,"Young Adult(19-35)",B972&gt;12,"Adolescent(13-18)",B972&gt;0,"Child(&lt;13)")</f>
        <v>Middle-aged Adult(36-60)</v>
      </c>
    </row>
    <row r="973" spans="1:12">
      <c r="A973" t="s">
        <v>15</v>
      </c>
      <c r="B973">
        <v>39</v>
      </c>
      <c r="C973">
        <v>0</v>
      </c>
      <c r="D973">
        <v>0</v>
      </c>
      <c r="E973">
        <v>0</v>
      </c>
      <c r="F973" t="s">
        <v>51</v>
      </c>
      <c r="G973" t="s">
        <v>17</v>
      </c>
      <c r="H973" t="s">
        <v>13</v>
      </c>
      <c r="I973" t="s">
        <v>14</v>
      </c>
      <c r="J973">
        <v>0</v>
      </c>
      <c r="K973" t="str">
        <f t="shared" si="15"/>
        <v>Not Affected</v>
      </c>
      <c r="L973" t="str" cm="1">
        <f t="array" ref="L973">_xlfn.IFS(B973&gt;60,"Older Adult(&gt;60)",B973&gt;35,"Middle-aged Adult(36-60)",B973&gt;18,"Young Adult(19-35)",B973&gt;12,"Adolescent(13-18)",B973&gt;0,"Child(&lt;13)")</f>
        <v>Middle-aged Adult(36-60)</v>
      </c>
    </row>
    <row r="974" spans="1:12">
      <c r="A974" t="s">
        <v>10</v>
      </c>
      <c r="B974">
        <v>9</v>
      </c>
      <c r="C974">
        <v>1</v>
      </c>
      <c r="D974">
        <v>1</v>
      </c>
      <c r="E974">
        <v>1</v>
      </c>
      <c r="F974" t="s">
        <v>51</v>
      </c>
      <c r="G974" t="s">
        <v>12</v>
      </c>
      <c r="H974" t="s">
        <v>19</v>
      </c>
      <c r="I974" t="s">
        <v>14</v>
      </c>
      <c r="J974">
        <v>1</v>
      </c>
      <c r="K974" t="str">
        <f t="shared" si="15"/>
        <v>Affected</v>
      </c>
      <c r="L974" t="str" cm="1">
        <f t="array" ref="L974">_xlfn.IFS(B974&gt;60,"Older Adult(&gt;60)",B974&gt;35,"Middle-aged Adult(36-60)",B974&gt;18,"Young Adult(19-35)",B974&gt;12,"Adolescent(13-18)",B974&gt;0,"Child(&lt;13)")</f>
        <v>Child(&lt;13)</v>
      </c>
    </row>
    <row r="975" spans="1:12">
      <c r="A975" t="s">
        <v>15</v>
      </c>
      <c r="B975">
        <v>26</v>
      </c>
      <c r="C975">
        <v>0</v>
      </c>
      <c r="D975">
        <v>1</v>
      </c>
      <c r="E975">
        <v>0</v>
      </c>
      <c r="F975" t="s">
        <v>35</v>
      </c>
      <c r="G975" t="s">
        <v>17</v>
      </c>
      <c r="H975" t="s">
        <v>19</v>
      </c>
      <c r="I975" t="s">
        <v>14</v>
      </c>
      <c r="J975">
        <v>1</v>
      </c>
      <c r="K975" t="str">
        <f t="shared" si="15"/>
        <v>Affected</v>
      </c>
      <c r="L975" t="str" cm="1">
        <f t="array" ref="L975">_xlfn.IFS(B975&gt;60,"Older Adult(&gt;60)",B975&gt;35,"Middle-aged Adult(36-60)",B975&gt;18,"Young Adult(19-35)",B975&gt;12,"Adolescent(13-18)",B975&gt;0,"Child(&lt;13)")</f>
        <v>Young Adult(19-35)</v>
      </c>
    </row>
    <row r="976" spans="1:12">
      <c r="A976" t="s">
        <v>10</v>
      </c>
      <c r="B976">
        <v>40</v>
      </c>
      <c r="C976">
        <v>1</v>
      </c>
      <c r="D976">
        <v>1</v>
      </c>
      <c r="E976">
        <v>0</v>
      </c>
      <c r="F976" t="s">
        <v>48</v>
      </c>
      <c r="G976" t="s">
        <v>12</v>
      </c>
      <c r="H976" t="s">
        <v>13</v>
      </c>
      <c r="I976" t="s">
        <v>14</v>
      </c>
      <c r="J976">
        <v>1</v>
      </c>
      <c r="K976" t="str">
        <f t="shared" si="15"/>
        <v>Affected</v>
      </c>
      <c r="L976" t="str" cm="1">
        <f t="array" ref="L976">_xlfn.IFS(B976&gt;60,"Older Adult(&gt;60)",B976&gt;35,"Middle-aged Adult(36-60)",B976&gt;18,"Young Adult(19-35)",B976&gt;12,"Adolescent(13-18)",B976&gt;0,"Child(&lt;13)")</f>
        <v>Middle-aged Adult(36-60)</v>
      </c>
    </row>
    <row r="977" spans="1:12">
      <c r="A977" t="s">
        <v>15</v>
      </c>
      <c r="B977">
        <v>49</v>
      </c>
      <c r="C977">
        <v>1</v>
      </c>
      <c r="D977">
        <v>1</v>
      </c>
      <c r="E977">
        <v>1</v>
      </c>
      <c r="F977" t="s">
        <v>23</v>
      </c>
      <c r="G977" t="s">
        <v>17</v>
      </c>
      <c r="H977" t="s">
        <v>19</v>
      </c>
      <c r="I977" t="s">
        <v>14</v>
      </c>
      <c r="J977">
        <v>1</v>
      </c>
      <c r="K977" t="str">
        <f t="shared" si="15"/>
        <v>Affected</v>
      </c>
      <c r="L977" t="str" cm="1">
        <f t="array" ref="L977">_xlfn.IFS(B977&gt;60,"Older Adult(&gt;60)",B977&gt;35,"Middle-aged Adult(36-60)",B977&gt;18,"Young Adult(19-35)",B977&gt;12,"Adolescent(13-18)",B977&gt;0,"Child(&lt;13)")</f>
        <v>Middle-aged Adult(36-60)</v>
      </c>
    </row>
    <row r="978" spans="1:12">
      <c r="A978" t="s">
        <v>10</v>
      </c>
      <c r="B978">
        <v>29</v>
      </c>
      <c r="C978">
        <v>0</v>
      </c>
      <c r="D978">
        <v>0</v>
      </c>
      <c r="E978">
        <v>1</v>
      </c>
      <c r="F978" t="s">
        <v>33</v>
      </c>
      <c r="G978" t="s">
        <v>12</v>
      </c>
      <c r="H978" t="s">
        <v>24</v>
      </c>
      <c r="I978" t="s">
        <v>14</v>
      </c>
      <c r="J978">
        <v>0</v>
      </c>
      <c r="K978" t="str">
        <f t="shared" si="15"/>
        <v>Not Affected</v>
      </c>
      <c r="L978" t="str" cm="1">
        <f t="array" ref="L978">_xlfn.IFS(B978&gt;60,"Older Adult(&gt;60)",B978&gt;35,"Middle-aged Adult(36-60)",B978&gt;18,"Young Adult(19-35)",B978&gt;12,"Adolescent(13-18)",B978&gt;0,"Child(&lt;13)")</f>
        <v>Young Adult(19-35)</v>
      </c>
    </row>
    <row r="979" spans="1:12">
      <c r="A979" t="s">
        <v>10</v>
      </c>
      <c r="B979">
        <v>38</v>
      </c>
      <c r="C979">
        <v>1</v>
      </c>
      <c r="D979">
        <v>1</v>
      </c>
      <c r="E979">
        <v>0</v>
      </c>
      <c r="F979" t="s">
        <v>45</v>
      </c>
      <c r="G979" t="s">
        <v>17</v>
      </c>
      <c r="H979" t="s">
        <v>19</v>
      </c>
      <c r="I979" t="s">
        <v>14</v>
      </c>
      <c r="J979">
        <v>1</v>
      </c>
      <c r="K979" t="str">
        <f t="shared" si="15"/>
        <v>Affected</v>
      </c>
      <c r="L979" t="str" cm="1">
        <f t="array" ref="L979">_xlfn.IFS(B979&gt;60,"Older Adult(&gt;60)",B979&gt;35,"Middle-aged Adult(36-60)",B979&gt;18,"Young Adult(19-35)",B979&gt;12,"Adolescent(13-18)",B979&gt;0,"Child(&lt;13)")</f>
        <v>Middle-aged Adult(36-60)</v>
      </c>
    </row>
    <row r="980" spans="1:12">
      <c r="A980" t="s">
        <v>15</v>
      </c>
      <c r="B980">
        <v>52</v>
      </c>
      <c r="C980">
        <v>0</v>
      </c>
      <c r="D980">
        <v>0</v>
      </c>
      <c r="E980">
        <v>1</v>
      </c>
      <c r="F980" t="s">
        <v>16</v>
      </c>
      <c r="G980" t="s">
        <v>12</v>
      </c>
      <c r="H980" t="s">
        <v>13</v>
      </c>
      <c r="I980" t="s">
        <v>14</v>
      </c>
      <c r="J980">
        <v>0</v>
      </c>
      <c r="K980" t="str">
        <f t="shared" si="15"/>
        <v>Not Affected</v>
      </c>
      <c r="L980" t="str" cm="1">
        <f t="array" ref="L980">_xlfn.IFS(B980&gt;60,"Older Adult(&gt;60)",B980&gt;35,"Middle-aged Adult(36-60)",B980&gt;18,"Young Adult(19-35)",B980&gt;12,"Adolescent(13-18)",B980&gt;0,"Child(&lt;13)")</f>
        <v>Middle-aged Adult(36-60)</v>
      </c>
    </row>
    <row r="981" spans="1:12">
      <c r="A981" t="s">
        <v>15</v>
      </c>
      <c r="B981">
        <v>64</v>
      </c>
      <c r="C981">
        <v>0</v>
      </c>
      <c r="D981">
        <v>0</v>
      </c>
      <c r="E981">
        <v>0</v>
      </c>
      <c r="F981" t="s">
        <v>41</v>
      </c>
      <c r="G981" t="s">
        <v>17</v>
      </c>
      <c r="H981" t="s">
        <v>13</v>
      </c>
      <c r="I981" t="s">
        <v>14</v>
      </c>
      <c r="J981">
        <v>0</v>
      </c>
      <c r="K981" t="str">
        <f t="shared" si="15"/>
        <v>Not Affected</v>
      </c>
      <c r="L981" t="str" cm="1">
        <f t="array" ref="L981">_xlfn.IFS(B981&gt;60,"Older Adult(&gt;60)",B981&gt;35,"Middle-aged Adult(36-60)",B981&gt;18,"Young Adult(19-35)",B981&gt;12,"Adolescent(13-18)",B981&gt;0,"Child(&lt;13)")</f>
        <v>Older Adult(&gt;60)</v>
      </c>
    </row>
    <row r="982" spans="1:12">
      <c r="A982" t="s">
        <v>15</v>
      </c>
      <c r="B982">
        <v>11</v>
      </c>
      <c r="C982">
        <v>0</v>
      </c>
      <c r="D982">
        <v>0</v>
      </c>
      <c r="E982">
        <v>0</v>
      </c>
      <c r="F982" t="s">
        <v>45</v>
      </c>
      <c r="G982" t="s">
        <v>12</v>
      </c>
      <c r="H982" t="s">
        <v>19</v>
      </c>
      <c r="I982" t="s">
        <v>14</v>
      </c>
      <c r="J982">
        <v>0</v>
      </c>
      <c r="K982" t="str">
        <f t="shared" si="15"/>
        <v>Not Affected</v>
      </c>
      <c r="L982" t="str" cm="1">
        <f t="array" ref="L982">_xlfn.IFS(B982&gt;60,"Older Adult(&gt;60)",B982&gt;35,"Middle-aged Adult(36-60)",B982&gt;18,"Young Adult(19-35)",B982&gt;12,"Adolescent(13-18)",B982&gt;0,"Child(&lt;13)")</f>
        <v>Child(&lt;13)</v>
      </c>
    </row>
    <row r="983" spans="1:12">
      <c r="A983" t="s">
        <v>15</v>
      </c>
      <c r="B983">
        <v>39</v>
      </c>
      <c r="C983">
        <v>1</v>
      </c>
      <c r="D983">
        <v>1</v>
      </c>
      <c r="E983">
        <v>0</v>
      </c>
      <c r="F983" t="s">
        <v>33</v>
      </c>
      <c r="G983" t="s">
        <v>17</v>
      </c>
      <c r="H983" t="s">
        <v>19</v>
      </c>
      <c r="I983" t="s">
        <v>14</v>
      </c>
      <c r="J983">
        <v>1</v>
      </c>
      <c r="K983" t="str">
        <f t="shared" si="15"/>
        <v>Affected</v>
      </c>
      <c r="L983" t="str" cm="1">
        <f t="array" ref="L983">_xlfn.IFS(B983&gt;60,"Older Adult(&gt;60)",B983&gt;35,"Middle-aged Adult(36-60)",B983&gt;18,"Young Adult(19-35)",B983&gt;12,"Adolescent(13-18)",B983&gt;0,"Child(&lt;13)")</f>
        <v>Middle-aged Adult(36-60)</v>
      </c>
    </row>
    <row r="984" spans="1:12">
      <c r="A984" t="s">
        <v>15</v>
      </c>
      <c r="B984">
        <v>39</v>
      </c>
      <c r="C984">
        <v>1</v>
      </c>
      <c r="D984">
        <v>1</v>
      </c>
      <c r="E984">
        <v>0</v>
      </c>
      <c r="F984" t="s">
        <v>36</v>
      </c>
      <c r="G984" t="s">
        <v>12</v>
      </c>
      <c r="H984" t="s">
        <v>24</v>
      </c>
      <c r="I984" t="s">
        <v>14</v>
      </c>
      <c r="J984">
        <v>1</v>
      </c>
      <c r="K984" t="str">
        <f t="shared" si="15"/>
        <v>Affected</v>
      </c>
      <c r="L984" t="str" cm="1">
        <f t="array" ref="L984">_xlfn.IFS(B984&gt;60,"Older Adult(&gt;60)",B984&gt;35,"Middle-aged Adult(36-60)",B984&gt;18,"Young Adult(19-35)",B984&gt;12,"Adolescent(13-18)",B984&gt;0,"Child(&lt;13)")</f>
        <v>Middle-aged Adult(36-60)</v>
      </c>
    </row>
    <row r="985" spans="1:12">
      <c r="A985" t="s">
        <v>10</v>
      </c>
      <c r="B985">
        <v>25</v>
      </c>
      <c r="C985">
        <v>1</v>
      </c>
      <c r="D985">
        <v>1</v>
      </c>
      <c r="E985">
        <v>0</v>
      </c>
      <c r="F985" t="s">
        <v>52</v>
      </c>
      <c r="G985" t="s">
        <v>17</v>
      </c>
      <c r="H985" t="s">
        <v>24</v>
      </c>
      <c r="I985" t="s">
        <v>14</v>
      </c>
      <c r="J985">
        <v>1</v>
      </c>
      <c r="K985" t="str">
        <f t="shared" si="15"/>
        <v>Affected</v>
      </c>
      <c r="L985" t="str" cm="1">
        <f t="array" ref="L985">_xlfn.IFS(B985&gt;60,"Older Adult(&gt;60)",B985&gt;35,"Middle-aged Adult(36-60)",B985&gt;18,"Young Adult(19-35)",B985&gt;12,"Adolescent(13-18)",B985&gt;0,"Child(&lt;13)")</f>
        <v>Young Adult(19-35)</v>
      </c>
    </row>
    <row r="986" spans="1:12">
      <c r="A986" t="s">
        <v>15</v>
      </c>
      <c r="B986">
        <v>9</v>
      </c>
      <c r="C986">
        <v>0</v>
      </c>
      <c r="D986">
        <v>0</v>
      </c>
      <c r="E986">
        <v>1</v>
      </c>
      <c r="F986" t="s">
        <v>11</v>
      </c>
      <c r="G986" t="s">
        <v>12</v>
      </c>
      <c r="H986" t="s">
        <v>13</v>
      </c>
      <c r="I986" t="s">
        <v>14</v>
      </c>
      <c r="J986">
        <v>0</v>
      </c>
      <c r="K986" t="str">
        <f t="shared" si="15"/>
        <v>Not Affected</v>
      </c>
      <c r="L986" t="str" cm="1">
        <f t="array" ref="L986">_xlfn.IFS(B986&gt;60,"Older Adult(&gt;60)",B986&gt;35,"Middle-aged Adult(36-60)",B986&gt;18,"Young Adult(19-35)",B986&gt;12,"Adolescent(13-18)",B986&gt;0,"Child(&lt;13)")</f>
        <v>Child(&lt;13)</v>
      </c>
    </row>
    <row r="987" spans="1:12">
      <c r="A987" t="s">
        <v>10</v>
      </c>
      <c r="B987">
        <v>61</v>
      </c>
      <c r="C987">
        <v>1</v>
      </c>
      <c r="D987">
        <v>1</v>
      </c>
      <c r="E987">
        <v>0</v>
      </c>
      <c r="F987" t="s">
        <v>21</v>
      </c>
      <c r="G987" t="s">
        <v>17</v>
      </c>
      <c r="H987" t="s">
        <v>13</v>
      </c>
      <c r="I987" t="s">
        <v>14</v>
      </c>
      <c r="J987">
        <v>1</v>
      </c>
      <c r="K987" t="str">
        <f t="shared" si="15"/>
        <v>Affected</v>
      </c>
      <c r="L987" t="str" cm="1">
        <f t="array" ref="L987">_xlfn.IFS(B987&gt;60,"Older Adult(&gt;60)",B987&gt;35,"Middle-aged Adult(36-60)",B987&gt;18,"Young Adult(19-35)",B987&gt;12,"Adolescent(13-18)",B987&gt;0,"Child(&lt;13)")</f>
        <v>Older Adult(&gt;60)</v>
      </c>
    </row>
    <row r="988" spans="1:12">
      <c r="A988" t="s">
        <v>10</v>
      </c>
      <c r="B988">
        <v>18</v>
      </c>
      <c r="C988">
        <v>0</v>
      </c>
      <c r="D988">
        <v>0</v>
      </c>
      <c r="E988">
        <v>1</v>
      </c>
      <c r="F988" t="s">
        <v>51</v>
      </c>
      <c r="G988" t="s">
        <v>12</v>
      </c>
      <c r="H988" t="s">
        <v>13</v>
      </c>
      <c r="I988" t="s">
        <v>14</v>
      </c>
      <c r="J988">
        <v>0</v>
      </c>
      <c r="K988" t="str">
        <f t="shared" si="15"/>
        <v>Not Affected</v>
      </c>
      <c r="L988" t="str" cm="1">
        <f t="array" ref="L988">_xlfn.IFS(B988&gt;60,"Older Adult(&gt;60)",B988&gt;35,"Middle-aged Adult(36-60)",B988&gt;18,"Young Adult(19-35)",B988&gt;12,"Adolescent(13-18)",B988&gt;0,"Child(&lt;13)")</f>
        <v>Adolescent(13-18)</v>
      </c>
    </row>
    <row r="989" spans="1:12">
      <c r="A989" t="s">
        <v>10</v>
      </c>
      <c r="B989">
        <v>55</v>
      </c>
      <c r="C989">
        <v>1</v>
      </c>
      <c r="D989">
        <v>1</v>
      </c>
      <c r="E989">
        <v>0</v>
      </c>
      <c r="F989" t="s">
        <v>46</v>
      </c>
      <c r="G989" t="s">
        <v>17</v>
      </c>
      <c r="H989" t="s">
        <v>24</v>
      </c>
      <c r="I989" t="s">
        <v>14</v>
      </c>
      <c r="J989">
        <v>1</v>
      </c>
      <c r="K989" t="str">
        <f t="shared" si="15"/>
        <v>Affected</v>
      </c>
      <c r="L989" t="str" cm="1">
        <f t="array" ref="L989">_xlfn.IFS(B989&gt;60,"Older Adult(&gt;60)",B989&gt;35,"Middle-aged Adult(36-60)",B989&gt;18,"Young Adult(19-35)",B989&gt;12,"Adolescent(13-18)",B989&gt;0,"Child(&lt;13)")</f>
        <v>Middle-aged Adult(36-60)</v>
      </c>
    </row>
    <row r="990" spans="1:12">
      <c r="A990" t="s">
        <v>15</v>
      </c>
      <c r="B990">
        <v>11</v>
      </c>
      <c r="C990">
        <v>0</v>
      </c>
      <c r="D990">
        <v>0</v>
      </c>
      <c r="E990">
        <v>0</v>
      </c>
      <c r="F990" t="s">
        <v>45</v>
      </c>
      <c r="G990" t="s">
        <v>12</v>
      </c>
      <c r="H990" t="s">
        <v>13</v>
      </c>
      <c r="I990" t="s">
        <v>14</v>
      </c>
      <c r="J990">
        <v>0</v>
      </c>
      <c r="K990" t="str">
        <f t="shared" si="15"/>
        <v>Not Affected</v>
      </c>
      <c r="L990" t="str" cm="1">
        <f t="array" ref="L990">_xlfn.IFS(B990&gt;60,"Older Adult(&gt;60)",B990&gt;35,"Middle-aged Adult(36-60)",B990&gt;18,"Young Adult(19-35)",B990&gt;12,"Adolescent(13-18)",B990&gt;0,"Child(&lt;13)")</f>
        <v>Child(&lt;13)</v>
      </c>
    </row>
    <row r="991" spans="1:12">
      <c r="A991" t="s">
        <v>15</v>
      </c>
      <c r="B991">
        <v>23</v>
      </c>
      <c r="C991">
        <v>1</v>
      </c>
      <c r="D991">
        <v>1</v>
      </c>
      <c r="E991">
        <v>0</v>
      </c>
      <c r="F991" t="s">
        <v>43</v>
      </c>
      <c r="G991" t="s">
        <v>17</v>
      </c>
      <c r="H991" t="s">
        <v>13</v>
      </c>
      <c r="I991" t="s">
        <v>14</v>
      </c>
      <c r="J991">
        <v>1</v>
      </c>
      <c r="K991" t="str">
        <f t="shared" si="15"/>
        <v>Affected</v>
      </c>
      <c r="L991" t="str" cm="1">
        <f t="array" ref="L991">_xlfn.IFS(B991&gt;60,"Older Adult(&gt;60)",B991&gt;35,"Middle-aged Adult(36-60)",B991&gt;18,"Young Adult(19-35)",B991&gt;12,"Adolescent(13-18)",B991&gt;0,"Child(&lt;13)")</f>
        <v>Young Adult(19-35)</v>
      </c>
    </row>
    <row r="992" spans="1:12">
      <c r="A992" t="s">
        <v>10</v>
      </c>
      <c r="B992">
        <v>37</v>
      </c>
      <c r="C992">
        <v>1</v>
      </c>
      <c r="D992">
        <v>1</v>
      </c>
      <c r="E992">
        <v>1</v>
      </c>
      <c r="F992" t="s">
        <v>33</v>
      </c>
      <c r="G992" t="s">
        <v>12</v>
      </c>
      <c r="H992" t="s">
        <v>19</v>
      </c>
      <c r="I992" t="s">
        <v>14</v>
      </c>
      <c r="J992">
        <v>1</v>
      </c>
      <c r="K992" t="str">
        <f t="shared" si="15"/>
        <v>Affected</v>
      </c>
      <c r="L992" t="str" cm="1">
        <f t="array" ref="L992">_xlfn.IFS(B992&gt;60,"Older Adult(&gt;60)",B992&gt;35,"Middle-aged Adult(36-60)",B992&gt;18,"Young Adult(19-35)",B992&gt;12,"Adolescent(13-18)",B992&gt;0,"Child(&lt;13)")</f>
        <v>Middle-aged Adult(36-60)</v>
      </c>
    </row>
    <row r="993" spans="1:12">
      <c r="A993" t="s">
        <v>10</v>
      </c>
      <c r="B993">
        <v>33</v>
      </c>
      <c r="C993">
        <v>0</v>
      </c>
      <c r="D993">
        <v>0</v>
      </c>
      <c r="E993">
        <v>1</v>
      </c>
      <c r="F993" t="s">
        <v>41</v>
      </c>
      <c r="G993" t="s">
        <v>17</v>
      </c>
      <c r="H993" t="s">
        <v>19</v>
      </c>
      <c r="I993" t="s">
        <v>14</v>
      </c>
      <c r="J993">
        <v>0</v>
      </c>
      <c r="K993" t="str">
        <f t="shared" si="15"/>
        <v>Not Affected</v>
      </c>
      <c r="L993" t="str" cm="1">
        <f t="array" ref="L993">_xlfn.IFS(B993&gt;60,"Older Adult(&gt;60)",B993&gt;35,"Middle-aged Adult(36-60)",B993&gt;18,"Young Adult(19-35)",B993&gt;12,"Adolescent(13-18)",B993&gt;0,"Child(&lt;13)")</f>
        <v>Young Adult(19-35)</v>
      </c>
    </row>
    <row r="994" spans="1:12">
      <c r="A994" t="s">
        <v>15</v>
      </c>
      <c r="B994">
        <v>18</v>
      </c>
      <c r="C994">
        <v>1</v>
      </c>
      <c r="D994">
        <v>1</v>
      </c>
      <c r="E994">
        <v>0</v>
      </c>
      <c r="F994" t="s">
        <v>26</v>
      </c>
      <c r="G994" t="s">
        <v>12</v>
      </c>
      <c r="H994" t="s">
        <v>13</v>
      </c>
      <c r="I994" t="s">
        <v>14</v>
      </c>
      <c r="J994">
        <v>1</v>
      </c>
      <c r="K994" t="str">
        <f t="shared" si="15"/>
        <v>Affected</v>
      </c>
      <c r="L994" t="str" cm="1">
        <f t="array" ref="L994">_xlfn.IFS(B994&gt;60,"Older Adult(&gt;60)",B994&gt;35,"Middle-aged Adult(36-60)",B994&gt;18,"Young Adult(19-35)",B994&gt;12,"Adolescent(13-18)",B994&gt;0,"Child(&lt;13)")</f>
        <v>Adolescent(13-18)</v>
      </c>
    </row>
    <row r="995" spans="1:12">
      <c r="A995" t="s">
        <v>10</v>
      </c>
      <c r="B995">
        <v>15</v>
      </c>
      <c r="C995">
        <v>0</v>
      </c>
      <c r="D995">
        <v>0</v>
      </c>
      <c r="E995">
        <v>0</v>
      </c>
      <c r="F995" t="s">
        <v>50</v>
      </c>
      <c r="G995" t="s">
        <v>17</v>
      </c>
      <c r="H995" t="s">
        <v>19</v>
      </c>
      <c r="I995" t="s">
        <v>14</v>
      </c>
      <c r="J995">
        <v>0</v>
      </c>
      <c r="K995" t="str">
        <f t="shared" si="15"/>
        <v>Not Affected</v>
      </c>
      <c r="L995" t="str" cm="1">
        <f t="array" ref="L995">_xlfn.IFS(B995&gt;60,"Older Adult(&gt;60)",B995&gt;35,"Middle-aged Adult(36-60)",B995&gt;18,"Young Adult(19-35)",B995&gt;12,"Adolescent(13-18)",B995&gt;0,"Child(&lt;13)")</f>
        <v>Adolescent(13-18)</v>
      </c>
    </row>
    <row r="996" spans="1:12">
      <c r="A996" t="s">
        <v>15</v>
      </c>
      <c r="B996">
        <v>44</v>
      </c>
      <c r="C996">
        <v>0</v>
      </c>
      <c r="D996">
        <v>0</v>
      </c>
      <c r="E996">
        <v>1</v>
      </c>
      <c r="F996" t="s">
        <v>39</v>
      </c>
      <c r="G996" t="s">
        <v>12</v>
      </c>
      <c r="H996" t="s">
        <v>19</v>
      </c>
      <c r="I996" t="s">
        <v>14</v>
      </c>
      <c r="J996">
        <v>0</v>
      </c>
      <c r="K996" t="str">
        <f t="shared" si="15"/>
        <v>Not Affected</v>
      </c>
      <c r="L996" t="str" cm="1">
        <f t="array" ref="L996">_xlfn.IFS(B996&gt;60,"Older Adult(&gt;60)",B996&gt;35,"Middle-aged Adult(36-60)",B996&gt;18,"Young Adult(19-35)",B996&gt;12,"Adolescent(13-18)",B996&gt;0,"Child(&lt;13)")</f>
        <v>Middle-aged Adult(36-60)</v>
      </c>
    </row>
    <row r="997" spans="1:12">
      <c r="A997" t="s">
        <v>10</v>
      </c>
      <c r="B997">
        <v>16</v>
      </c>
      <c r="C997">
        <v>1</v>
      </c>
      <c r="D997">
        <v>1</v>
      </c>
      <c r="E997">
        <v>0</v>
      </c>
      <c r="F997" t="s">
        <v>23</v>
      </c>
      <c r="G997" t="s">
        <v>17</v>
      </c>
      <c r="H997" t="s">
        <v>13</v>
      </c>
      <c r="I997" t="s">
        <v>14</v>
      </c>
      <c r="J997">
        <v>1</v>
      </c>
      <c r="K997" t="str">
        <f t="shared" si="15"/>
        <v>Affected</v>
      </c>
      <c r="L997" t="str" cm="1">
        <f t="array" ref="L997">_xlfn.IFS(B997&gt;60,"Older Adult(&gt;60)",B997&gt;35,"Middle-aged Adult(36-60)",B997&gt;18,"Young Adult(19-35)",B997&gt;12,"Adolescent(13-18)",B997&gt;0,"Child(&lt;13)")</f>
        <v>Adolescent(13-18)</v>
      </c>
    </row>
    <row r="998" spans="1:12">
      <c r="A998" t="s">
        <v>15</v>
      </c>
      <c r="B998">
        <v>41</v>
      </c>
      <c r="C998">
        <v>1</v>
      </c>
      <c r="D998">
        <v>1</v>
      </c>
      <c r="E998">
        <v>0</v>
      </c>
      <c r="F998" t="s">
        <v>18</v>
      </c>
      <c r="G998" t="s">
        <v>12</v>
      </c>
      <c r="H998" t="s">
        <v>19</v>
      </c>
      <c r="I998" t="s">
        <v>14</v>
      </c>
      <c r="J998">
        <v>1</v>
      </c>
      <c r="K998" t="str">
        <f t="shared" si="15"/>
        <v>Affected</v>
      </c>
      <c r="L998" t="str" cm="1">
        <f t="array" ref="L998">_xlfn.IFS(B998&gt;60,"Older Adult(&gt;60)",B998&gt;35,"Middle-aged Adult(36-60)",B998&gt;18,"Young Adult(19-35)",B998&gt;12,"Adolescent(13-18)",B998&gt;0,"Child(&lt;13)")</f>
        <v>Middle-aged Adult(36-60)</v>
      </c>
    </row>
    <row r="999" spans="1:12">
      <c r="A999" t="s">
        <v>15</v>
      </c>
      <c r="B999">
        <v>45</v>
      </c>
      <c r="C999">
        <v>0</v>
      </c>
      <c r="D999">
        <v>0</v>
      </c>
      <c r="E999">
        <v>1</v>
      </c>
      <c r="F999" t="s">
        <v>20</v>
      </c>
      <c r="G999" t="s">
        <v>17</v>
      </c>
      <c r="H999" t="s">
        <v>13</v>
      </c>
      <c r="I999" t="s">
        <v>14</v>
      </c>
      <c r="J999">
        <v>0</v>
      </c>
      <c r="K999" t="str">
        <f t="shared" si="15"/>
        <v>Not Affected</v>
      </c>
      <c r="L999" t="str" cm="1">
        <f t="array" ref="L999">_xlfn.IFS(B999&gt;60,"Older Adult(&gt;60)",B999&gt;35,"Middle-aged Adult(36-60)",B999&gt;18,"Young Adult(19-35)",B999&gt;12,"Adolescent(13-18)",B999&gt;0,"Child(&lt;13)")</f>
        <v>Middle-aged Adult(36-60)</v>
      </c>
    </row>
    <row r="1000" spans="1:12">
      <c r="A1000" t="s">
        <v>10</v>
      </c>
      <c r="B1000">
        <v>19</v>
      </c>
      <c r="C1000">
        <v>1</v>
      </c>
      <c r="D1000">
        <v>1</v>
      </c>
      <c r="E1000">
        <v>1</v>
      </c>
      <c r="F1000" t="s">
        <v>18</v>
      </c>
      <c r="G1000" t="s">
        <v>12</v>
      </c>
      <c r="H1000" t="s">
        <v>13</v>
      </c>
      <c r="I1000" t="s">
        <v>14</v>
      </c>
      <c r="J1000">
        <v>1</v>
      </c>
      <c r="K1000" t="str">
        <f t="shared" si="15"/>
        <v>Affected</v>
      </c>
      <c r="L1000" t="str" cm="1">
        <f t="array" ref="L1000">_xlfn.IFS(B1000&gt;60,"Older Adult(&gt;60)",B1000&gt;35,"Middle-aged Adult(36-60)",B1000&gt;18,"Young Adult(19-35)",B1000&gt;12,"Adolescent(13-18)",B1000&gt;0,"Child(&lt;13)")</f>
        <v>Young Adult(19-35)</v>
      </c>
    </row>
    <row r="1001" spans="1:12">
      <c r="A1001" t="s">
        <v>10</v>
      </c>
      <c r="B1001">
        <v>28</v>
      </c>
      <c r="C1001">
        <v>0</v>
      </c>
      <c r="D1001">
        <v>0</v>
      </c>
      <c r="E1001">
        <v>1</v>
      </c>
      <c r="F1001" t="s">
        <v>34</v>
      </c>
      <c r="G1001" t="s">
        <v>17</v>
      </c>
      <c r="H1001" t="s">
        <v>13</v>
      </c>
      <c r="I1001" t="s">
        <v>14</v>
      </c>
      <c r="J1001">
        <v>0</v>
      </c>
      <c r="K1001" t="str">
        <f t="shared" si="15"/>
        <v>Not Affected</v>
      </c>
      <c r="L1001" t="str" cm="1">
        <f t="array" ref="L1001">_xlfn.IFS(B1001&gt;60,"Older Adult(&gt;60)",B1001&gt;35,"Middle-aged Adult(36-60)",B1001&gt;18,"Young Adult(19-35)",B1001&gt;12,"Adolescent(13-18)",B1001&gt;0,"Child(&lt;13)")</f>
        <v>Young Adult(19-35)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D038-6F51-4AB4-9219-F84B1F366B04}">
  <dimension ref="A4:B11"/>
  <sheetViews>
    <sheetView workbookViewId="0">
      <selection activeCell="B12" sqref="B12"/>
    </sheetView>
  </sheetViews>
  <sheetFormatPr defaultRowHeight="14.25"/>
  <cols>
    <col min="1" max="1" width="21.625" customWidth="1"/>
  </cols>
  <sheetData>
    <row r="4" spans="1:2">
      <c r="A4" s="2" t="s">
        <v>54</v>
      </c>
      <c r="B4" s="4">
        <f>GETPIVOTDATA("Final Outcome",'Pivot for KPI'!$F$9)</f>
        <v>30</v>
      </c>
    </row>
    <row r="5" spans="1:2">
      <c r="A5" t="s">
        <v>58</v>
      </c>
      <c r="B5" s="3">
        <f>GETPIVOTDATA("Final Outcome",'Pivot for KPI'!$F$14,"Outcome",1)</f>
        <v>12</v>
      </c>
    </row>
    <row r="7" spans="1:2">
      <c r="A7" t="s">
        <v>60</v>
      </c>
      <c r="B7" s="7">
        <f>GETPIVOTDATA("Age",'Pivot for KPI'!$F$20)</f>
        <v>38.799999999999997</v>
      </c>
    </row>
    <row r="9" spans="1:2">
      <c r="A9" t="s">
        <v>61</v>
      </c>
      <c r="B9">
        <f>COUNTA(_xlfn.UNIQUE(dataset!F2:F1001))</f>
        <v>36</v>
      </c>
    </row>
    <row r="11" spans="1:2">
      <c r="A11" t="s">
        <v>78</v>
      </c>
      <c r="B11" s="9">
        <f>GETPIVOTDATA("Count of Final Outcome",'Pivot for KPI'!$F$14,"Outcome",1)</f>
        <v>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5629D-1ED7-4A32-AA83-950E872C9CE1}">
  <dimension ref="B9:J48"/>
  <sheetViews>
    <sheetView zoomScale="70" zoomScaleNormal="62" workbookViewId="0">
      <selection activeCell="G15" sqref="G15"/>
    </sheetView>
  </sheetViews>
  <sheetFormatPr defaultRowHeight="14.25"/>
  <cols>
    <col min="1" max="1" width="19.625" bestFit="1" customWidth="1"/>
    <col min="2" max="2" width="19" bestFit="1" customWidth="1"/>
    <col min="3" max="3" width="20" bestFit="1" customWidth="1"/>
    <col min="4" max="5" width="18.875" bestFit="1" customWidth="1"/>
    <col min="6" max="6" width="19.25" bestFit="1" customWidth="1"/>
    <col min="7" max="7" width="17.75" bestFit="1" customWidth="1"/>
    <col min="8" max="8" width="28.875" bestFit="1" customWidth="1"/>
    <col min="10" max="10" width="19.75" bestFit="1" customWidth="1"/>
  </cols>
  <sheetData>
    <row r="9" spans="2:8">
      <c r="F9" t="s">
        <v>83</v>
      </c>
    </row>
    <row r="10" spans="2:8">
      <c r="F10">
        <v>30</v>
      </c>
    </row>
    <row r="14" spans="2:8">
      <c r="B14" s="5" t="s">
        <v>56</v>
      </c>
      <c r="C14" t="s">
        <v>55</v>
      </c>
      <c r="F14" s="5" t="s">
        <v>56</v>
      </c>
      <c r="G14" t="s">
        <v>83</v>
      </c>
      <c r="H14" t="s">
        <v>64</v>
      </c>
    </row>
    <row r="15" spans="2:8">
      <c r="B15" s="6" t="s">
        <v>33</v>
      </c>
      <c r="C15" s="7">
        <v>31</v>
      </c>
      <c r="F15" s="6">
        <v>0</v>
      </c>
      <c r="G15">
        <v>18</v>
      </c>
      <c r="H15" s="11">
        <v>0.6</v>
      </c>
    </row>
    <row r="16" spans="2:8">
      <c r="B16" s="6" t="s">
        <v>44</v>
      </c>
      <c r="C16" s="7">
        <v>26</v>
      </c>
      <c r="F16" s="6">
        <v>1</v>
      </c>
      <c r="G16">
        <v>12</v>
      </c>
      <c r="H16" s="11">
        <v>0.4</v>
      </c>
    </row>
    <row r="17" spans="2:8">
      <c r="B17" s="6" t="s">
        <v>48</v>
      </c>
      <c r="C17" s="7">
        <v>24</v>
      </c>
      <c r="F17" s="6" t="s">
        <v>57</v>
      </c>
      <c r="G17">
        <v>30</v>
      </c>
      <c r="H17" s="11">
        <v>1</v>
      </c>
    </row>
    <row r="18" spans="2:8">
      <c r="B18" s="6" t="s">
        <v>39</v>
      </c>
      <c r="C18" s="7">
        <v>24</v>
      </c>
    </row>
    <row r="19" spans="2:8">
      <c r="B19" s="6" t="s">
        <v>28</v>
      </c>
      <c r="C19" s="7">
        <v>20</v>
      </c>
    </row>
    <row r="20" spans="2:8">
      <c r="B20" s="6" t="s">
        <v>11</v>
      </c>
      <c r="C20" s="7">
        <v>19</v>
      </c>
      <c r="F20" t="s">
        <v>59</v>
      </c>
    </row>
    <row r="21" spans="2:8">
      <c r="B21" s="6" t="s">
        <v>50</v>
      </c>
      <c r="C21" s="7">
        <v>19</v>
      </c>
      <c r="F21" s="7">
        <v>38.799999999999997</v>
      </c>
    </row>
    <row r="22" spans="2:8">
      <c r="B22" s="6" t="s">
        <v>38</v>
      </c>
      <c r="C22" s="7">
        <v>17</v>
      </c>
    </row>
    <row r="23" spans="2:8">
      <c r="B23" s="6" t="s">
        <v>26</v>
      </c>
      <c r="C23" s="7">
        <v>17</v>
      </c>
    </row>
    <row r="24" spans="2:8">
      <c r="B24" s="6" t="s">
        <v>22</v>
      </c>
      <c r="C24" s="7">
        <v>17</v>
      </c>
    </row>
    <row r="25" spans="2:8">
      <c r="B25" s="6" t="s">
        <v>57</v>
      </c>
      <c r="C25" s="7">
        <v>214</v>
      </c>
    </row>
    <row r="38" spans="9:10" ht="15">
      <c r="I38" s="1"/>
      <c r="J38" s="1"/>
    </row>
    <row r="39" spans="9:10">
      <c r="I39" s="6"/>
      <c r="J39" s="7"/>
    </row>
    <row r="40" spans="9:10">
      <c r="I40" s="6"/>
      <c r="J40" s="7"/>
    </row>
    <row r="41" spans="9:10">
      <c r="I41" s="6"/>
      <c r="J41" s="7"/>
    </row>
    <row r="42" spans="9:10">
      <c r="I42" s="6"/>
      <c r="J42" s="7"/>
    </row>
    <row r="43" spans="9:10">
      <c r="I43" s="6"/>
      <c r="J43" s="7"/>
    </row>
    <row r="44" spans="9:10">
      <c r="I44" s="6"/>
      <c r="J44" s="7"/>
    </row>
    <row r="45" spans="9:10">
      <c r="I45" s="6"/>
      <c r="J45" s="7"/>
    </row>
    <row r="46" spans="9:10">
      <c r="I46" s="6"/>
      <c r="J46" s="7"/>
    </row>
    <row r="47" spans="9:10">
      <c r="I47" s="6"/>
      <c r="J47" s="7"/>
    </row>
    <row r="48" spans="9:10">
      <c r="I48" s="6"/>
      <c r="J48" s="7"/>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2080-5CC9-4249-93B4-8268D2D838CB}">
  <dimension ref="A3:D27"/>
  <sheetViews>
    <sheetView zoomScale="59" workbookViewId="0">
      <selection activeCell="X14" sqref="X14"/>
    </sheetView>
  </sheetViews>
  <sheetFormatPr defaultRowHeight="14.25"/>
  <cols>
    <col min="1" max="1" width="32.625" bestFit="1" customWidth="1"/>
    <col min="2" max="2" width="24.25" bestFit="1" customWidth="1"/>
    <col min="3" max="3" width="18.25" bestFit="1" customWidth="1"/>
    <col min="4" max="4" width="16.875" bestFit="1" customWidth="1"/>
    <col min="5" max="5" width="15.75" bestFit="1" customWidth="1"/>
    <col min="6" max="6" width="11.25" bestFit="1" customWidth="1"/>
  </cols>
  <sheetData>
    <row r="3" spans="1:4">
      <c r="A3" s="5" t="s">
        <v>64</v>
      </c>
      <c r="B3" s="5" t="s">
        <v>65</v>
      </c>
    </row>
    <row r="4" spans="1:4">
      <c r="A4" s="5" t="s">
        <v>56</v>
      </c>
      <c r="B4" t="s">
        <v>71</v>
      </c>
      <c r="C4" t="s">
        <v>72</v>
      </c>
      <c r="D4" t="s">
        <v>57</v>
      </c>
    </row>
    <row r="5" spans="1:4">
      <c r="A5" s="6" t="s">
        <v>69</v>
      </c>
      <c r="B5" s="8">
        <v>0.2</v>
      </c>
      <c r="C5" s="8">
        <v>0.3</v>
      </c>
      <c r="D5" s="8">
        <v>0.5</v>
      </c>
    </row>
    <row r="6" spans="1:4">
      <c r="A6" s="6" t="s">
        <v>70</v>
      </c>
      <c r="B6" s="8">
        <v>6.6666666666666666E-2</v>
      </c>
      <c r="C6" s="8">
        <v>0.13333333333333333</v>
      </c>
      <c r="D6" s="8">
        <v>0.2</v>
      </c>
    </row>
    <row r="7" spans="1:4">
      <c r="A7" s="6" t="s">
        <v>66</v>
      </c>
      <c r="B7" s="8">
        <v>3.3333333333333333E-2</v>
      </c>
      <c r="C7" s="8">
        <v>6.6666666666666666E-2</v>
      </c>
      <c r="D7" s="8">
        <v>0.1</v>
      </c>
    </row>
    <row r="8" spans="1:4">
      <c r="A8" s="6" t="s">
        <v>67</v>
      </c>
      <c r="B8" s="8">
        <v>0.1</v>
      </c>
      <c r="C8" s="8">
        <v>0</v>
      </c>
      <c r="D8" s="8">
        <v>0.1</v>
      </c>
    </row>
    <row r="9" spans="1:4">
      <c r="A9" s="6" t="s">
        <v>68</v>
      </c>
      <c r="B9" s="8">
        <v>0</v>
      </c>
      <c r="C9" s="8">
        <v>0.1</v>
      </c>
      <c r="D9" s="8">
        <v>0.1</v>
      </c>
    </row>
    <row r="10" spans="1:4">
      <c r="A10" s="6" t="s">
        <v>57</v>
      </c>
      <c r="B10" s="8">
        <v>0.4</v>
      </c>
      <c r="C10" s="8">
        <v>0.6</v>
      </c>
      <c r="D10" s="8">
        <v>1</v>
      </c>
    </row>
    <row r="24" spans="2:3">
      <c r="B24" s="5" t="s">
        <v>56</v>
      </c>
      <c r="C24" t="s">
        <v>79</v>
      </c>
    </row>
    <row r="25" spans="2:3">
      <c r="B25" s="6" t="s">
        <v>10</v>
      </c>
      <c r="C25">
        <v>14</v>
      </c>
    </row>
    <row r="26" spans="2:3">
      <c r="B26" s="6" t="s">
        <v>15</v>
      </c>
      <c r="C26">
        <v>16</v>
      </c>
    </row>
    <row r="27" spans="2:3">
      <c r="B27" s="6" t="s">
        <v>57</v>
      </c>
      <c r="C27">
        <v>30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1A2D-D40B-496E-9F9E-73AC8A4D2A0D}">
  <dimension ref="A3:C18"/>
  <sheetViews>
    <sheetView zoomScale="71" workbookViewId="0">
      <selection activeCell="B6" sqref="B6"/>
    </sheetView>
  </sheetViews>
  <sheetFormatPr defaultRowHeight="14.25"/>
  <cols>
    <col min="1" max="1" width="18" bestFit="1" customWidth="1"/>
    <col min="2" max="2" width="17.375" bestFit="1" customWidth="1"/>
    <col min="3" max="3" width="18" bestFit="1" customWidth="1"/>
    <col min="4" max="4" width="22.75" bestFit="1" customWidth="1"/>
  </cols>
  <sheetData>
    <row r="3" spans="1:3">
      <c r="A3" s="5" t="s">
        <v>82</v>
      </c>
      <c r="B3" t="s">
        <v>74</v>
      </c>
      <c r="C3" t="s">
        <v>73</v>
      </c>
    </row>
    <row r="4" spans="1:3">
      <c r="A4" s="6" t="s">
        <v>19</v>
      </c>
      <c r="B4">
        <v>3</v>
      </c>
      <c r="C4">
        <v>10</v>
      </c>
    </row>
    <row r="5" spans="1:3">
      <c r="A5" s="6" t="s">
        <v>24</v>
      </c>
      <c r="B5">
        <v>4</v>
      </c>
      <c r="C5">
        <v>11</v>
      </c>
    </row>
    <row r="6" spans="1:3">
      <c r="A6" s="6" t="s">
        <v>13</v>
      </c>
      <c r="B6">
        <v>5</v>
      </c>
      <c r="C6">
        <v>9</v>
      </c>
    </row>
    <row r="7" spans="1:3">
      <c r="A7" s="6" t="s">
        <v>57</v>
      </c>
      <c r="B7">
        <v>12</v>
      </c>
      <c r="C7">
        <v>30</v>
      </c>
    </row>
    <row r="15" spans="1:3">
      <c r="B15" s="5" t="s">
        <v>81</v>
      </c>
      <c r="C15" t="s">
        <v>80</v>
      </c>
    </row>
    <row r="16" spans="1:3">
      <c r="B16" s="6" t="s">
        <v>17</v>
      </c>
      <c r="C16">
        <v>8</v>
      </c>
    </row>
    <row r="17" spans="2:3">
      <c r="B17" s="6" t="s">
        <v>12</v>
      </c>
      <c r="C17">
        <v>4</v>
      </c>
    </row>
    <row r="18" spans="2:3">
      <c r="B18" s="6" t="s">
        <v>57</v>
      </c>
      <c r="C18">
        <v>12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3C29-1AE4-4ABC-B7DB-41859F8EEE1F}">
  <dimension ref="A3:G20"/>
  <sheetViews>
    <sheetView zoomScale="59" workbookViewId="0">
      <selection activeCell="B4" sqref="B4"/>
    </sheetView>
  </sheetViews>
  <sheetFormatPr defaultRowHeight="14.25"/>
  <cols>
    <col min="1" max="1" width="14" bestFit="1" customWidth="1"/>
    <col min="2" max="2" width="13.375" bestFit="1" customWidth="1"/>
    <col min="3" max="4" width="14" bestFit="1" customWidth="1"/>
    <col min="5" max="5" width="13.375" bestFit="1" customWidth="1"/>
    <col min="6" max="6" width="14" bestFit="1" customWidth="1"/>
    <col min="7" max="7" width="14.375" bestFit="1" customWidth="1"/>
    <col min="8" max="8" width="13.875" bestFit="1" customWidth="1"/>
    <col min="9" max="9" width="14" bestFit="1" customWidth="1"/>
  </cols>
  <sheetData>
    <row r="3" spans="1:7">
      <c r="A3" t="s">
        <v>75</v>
      </c>
      <c r="B3" t="s">
        <v>76</v>
      </c>
      <c r="C3" t="s">
        <v>77</v>
      </c>
    </row>
    <row r="4" spans="1:7">
      <c r="A4">
        <v>12</v>
      </c>
      <c r="B4">
        <v>12</v>
      </c>
      <c r="C4">
        <v>11</v>
      </c>
    </row>
    <row r="13" spans="1:7" ht="15.75">
      <c r="F13" s="10"/>
      <c r="G13" s="10"/>
    </row>
    <row r="17" spans="3:6">
      <c r="C17" s="5" t="s">
        <v>56</v>
      </c>
      <c r="D17" t="s">
        <v>75</v>
      </c>
      <c r="E17" t="s">
        <v>76</v>
      </c>
      <c r="F17" t="s">
        <v>77</v>
      </c>
    </row>
    <row r="18" spans="3:6">
      <c r="C18" s="6" t="s">
        <v>10</v>
      </c>
      <c r="D18">
        <v>4</v>
      </c>
      <c r="E18">
        <v>4</v>
      </c>
      <c r="F18">
        <v>5</v>
      </c>
    </row>
    <row r="19" spans="3:6">
      <c r="C19" s="6" t="s">
        <v>15</v>
      </c>
      <c r="D19">
        <v>8</v>
      </c>
      <c r="E19">
        <v>8</v>
      </c>
      <c r="F19">
        <v>6</v>
      </c>
    </row>
    <row r="20" spans="3:6">
      <c r="C20" s="6" t="s">
        <v>57</v>
      </c>
      <c r="D20">
        <v>12</v>
      </c>
      <c r="E20">
        <v>12</v>
      </c>
      <c r="F20">
        <v>11</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A26E-4373-4744-A7AD-F75C1C58E19D}">
  <dimension ref="A1:B15"/>
  <sheetViews>
    <sheetView workbookViewId="0">
      <selection activeCell="E5" sqref="E5"/>
    </sheetView>
  </sheetViews>
  <sheetFormatPr defaultRowHeight="14.25"/>
  <cols>
    <col min="1" max="1" width="12.75" customWidth="1"/>
    <col min="2" max="2" width="17.25" customWidth="1"/>
  </cols>
  <sheetData>
    <row r="1" spans="1:2">
      <c r="A1" s="13" t="s">
        <v>97</v>
      </c>
      <c r="B1" s="13"/>
    </row>
    <row r="3" spans="1:2">
      <c r="A3" t="s">
        <v>84</v>
      </c>
      <c r="B3">
        <v>35.923999999999999</v>
      </c>
    </row>
    <row r="4" spans="1:2">
      <c r="A4" t="s">
        <v>85</v>
      </c>
      <c r="B4">
        <v>0.52077771979361165</v>
      </c>
    </row>
    <row r="5" spans="1:2">
      <c r="A5" t="s">
        <v>86</v>
      </c>
      <c r="B5">
        <v>37</v>
      </c>
    </row>
    <row r="6" spans="1:2">
      <c r="A6" t="s">
        <v>87</v>
      </c>
      <c r="B6">
        <v>45</v>
      </c>
    </row>
    <row r="7" spans="1:2">
      <c r="A7" t="s">
        <v>88</v>
      </c>
      <c r="B7">
        <v>16.468437492167659</v>
      </c>
    </row>
    <row r="8" spans="1:2">
      <c r="A8" t="s">
        <v>89</v>
      </c>
      <c r="B8">
        <v>271.20943343343339</v>
      </c>
    </row>
    <row r="9" spans="1:2">
      <c r="A9" t="s">
        <v>90</v>
      </c>
      <c r="B9">
        <v>-1.1547973522733015</v>
      </c>
    </row>
    <row r="10" spans="1:2">
      <c r="A10" t="s">
        <v>91</v>
      </c>
      <c r="B10">
        <v>-1.883592157866743E-3</v>
      </c>
    </row>
    <row r="11" spans="1:2">
      <c r="A11" t="s">
        <v>92</v>
      </c>
      <c r="B11">
        <v>57</v>
      </c>
    </row>
    <row r="12" spans="1:2">
      <c r="A12" t="s">
        <v>93</v>
      </c>
      <c r="B12">
        <v>8</v>
      </c>
    </row>
    <row r="13" spans="1:2">
      <c r="A13" t="s">
        <v>94</v>
      </c>
      <c r="B13">
        <v>65</v>
      </c>
    </row>
    <row r="14" spans="1:2">
      <c r="A14" t="s">
        <v>95</v>
      </c>
      <c r="B14">
        <v>35924</v>
      </c>
    </row>
    <row r="15" spans="1:2" ht="15" thickBot="1">
      <c r="A15" s="12" t="s">
        <v>96</v>
      </c>
      <c r="B15" s="12">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dataset</vt:lpstr>
      <vt:lpstr>KPI</vt:lpstr>
      <vt:lpstr>Pivot for KPI</vt:lpstr>
      <vt:lpstr>Age grouping vs Disease</vt:lpstr>
      <vt:lpstr>House Types vs cases</vt:lpstr>
      <vt:lpstr>Diagnostic Views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siam rahaman</dc:creator>
  <cp:lastModifiedBy>siam rahaman</cp:lastModifiedBy>
  <dcterms:created xsi:type="dcterms:W3CDTF">2025-06-12T04:48:18Z</dcterms:created>
  <dcterms:modified xsi:type="dcterms:W3CDTF">2026-06-13T10:49:45Z</dcterms:modified>
</cp:coreProperties>
</file>